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_Instrucciones" sheetId="1" state="visible" r:id="rId3"/>
    <sheet name="1_Ficha_Catalogo" sheetId="2" state="visible" r:id="rId4"/>
    <sheet name="2_Diccionario" sheetId="3" state="visible" r:id="rId5"/>
    <sheet name="3_Glosario" sheetId="4" state="visible" r:id="rId6"/>
    <sheet name="4_Autoevaluacion"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<sst xmlns="http://schemas.openxmlformats.org/spreadsheetml/2006/main" count="1504" uniqueCount="866">
  <si>
    <t xml:space="preserve">Sesión 2 · Metadatos y catálogo de datos</t>
  </si>
  <si>
    <t xml:space="preserve">Data Office Strategy · Módulo de Gobernanza de Datos. Documenten el dataset de SU proyecto final.</t>
  </si>
  <si>
    <t xml:space="preserve">Equipo</t>
  </si>
  <si>
    <t xml:space="preserve">ORCA — Observatorio de Riesgo en Contratación de Antioquia</t>
  </si>
  <si>
    <t xml:space="preserve">Integrantes</t>
  </si>
  <si>
    <t xml:space="preserve">Luis Ángel Seoanes Ovieso · Julian Amariles Taborda · Katheryn Ramírez Chimá · Jhon Sebastian Rayo Posada</t>
  </si>
  <si>
    <t xml:space="preserve">Dataset del proyecto</t>
  </si>
  <si>
    <t xml:space="preserve">SECOP II – Contratos Electrónicos (jbjy-vk9h, datos.gov.co): contratos de entidades públicas de Antioquia firmados desde el 01/01/2024</t>
  </si>
  <si>
    <t xml:space="preserve">Roles (de la Sesión 1)</t>
  </si>
  <si>
    <t xml:space="preserve">Data Owner: Luis Ángel Seoanes Ovieso · Data Steward: Julian Amariles Taborda · Custodio técnico: Katheryn Ramírez Chimá · Consumidor / Analista: Jhon Sebastian Rayo Posada</t>
  </si>
  <si>
    <t xml:space="preserve">Paso a paso · trabajo autónomo 16:00–17:00 (sigan la guía S2_Guia_Trabajo_Autonomo)</t>
  </si>
  <si>
    <t xml:space="preserve">16:15 · 1 · Ficha de catálogo</t>
  </si>
  <si>
    <t xml:space="preserve">Hoja 1_Ficha_Catalogo: llenen la ficha del dataset completo. Si no saben un dato, escriban «Desconocido» y por qué.</t>
  </si>
  <si>
    <t xml:space="preserve">16:25 · 2 · Diccionario</t>
  </si>
  <si>
    <t xml:space="preserve">Hoja 2_Diccionario: mínimo 8 columnas de su dataset, con TODOS los campos. Empiecen por las columnas más confusas. A las 16:45 reporten en el canal cuántas llevan.</t>
  </si>
  <si>
    <t xml:space="preserve">16:45 · 3 · Glosario</t>
  </si>
  <si>
    <t xml:space="preserve">Hoja 3_Glosario: 5 términos de negocio clave de su caso (ej.: «cliente activo», «venta efectiva»).</t>
  </si>
  <si>
    <t xml:space="preserve">16:52 · 4 · Autoevaluación</t>
  </si>
  <si>
    <t xml:space="preserve">Hoja 4_Autoevaluacion: respondan Sí / Parcial / No (el puntaje se calcula solo) y escriban hasta 3 dudas para la docente.</t>
  </si>
  <si>
    <t xml:space="preserve">Entrega</t>
  </si>
  <si>
    <t xml:space="preserve">17:00: suban el avance al canal del equipo como S2_Metadatos_EquipoX.xlsx y únanse a la reunión de clase. Versión final, ajustada con la retroalimentación: antes de la Sesión 3.</t>
  </si>
  <si>
    <t xml:space="preserve">Cómo leer esta plantilla</t>
  </si>
  <si>
    <t xml:space="preserve">Celda amarilla</t>
  </si>
  <si>
    <t xml:space="preserve">Aquí escriben ustedes.</t>
  </si>
  <si>
    <t xml:space="preserve">Fila gris en cursiva</t>
  </si>
  <si>
    <t xml:space="preserve">Ejemplo resuelto (caso notas de la universidad). Úsenlo como modelo; no lo borren.</t>
  </si>
  <si>
    <t xml:space="preserve">Prueba del recién llegado</t>
  </si>
  <si>
    <t xml:space="preserve">Una persona que entra hoy a la empresa debe poder usar el dato solo con lo que ustedes escribieron, sin preguntarle a nadie.</t>
  </si>
  <si>
    <t xml:space="preserve">1 · Ficha de catálogo del dataset</t>
  </si>
  <si>
    <t xml:space="preserve">Una ficha por dataset. Responde: ¿qué datos existen, dónde están, quién responde y cómo se pueden usar?</t>
  </si>
  <si>
    <t xml:space="preserve">Campo</t>
  </si>
  <si>
    <t xml:space="preserve">Qué escribir</t>
  </si>
  <si>
    <t xml:space="preserve">Ejemplo (caso notas)</t>
  </si>
  <si>
    <t xml:space="preserve">Su dataset</t>
  </si>
  <si>
    <t xml:space="preserve">Nota del equipo</t>
  </si>
  <si>
    <t xml:space="preserve">Nombre del dataset</t>
  </si>
  <si>
    <t xml:space="preserve">Nombre claro, no el nombre del archivo.</t>
  </si>
  <si>
    <t xml:space="preserve">Notas definitivas por estudiante y asignatura</t>
  </si>
  <si>
    <t xml:space="preserve">SECOP II – Contratos Electrónicos de entidades de Antioquia (desde 2024)</t>
  </si>
  <si>
    <t xml:space="preserve">Descripción</t>
  </si>
  <si>
    <t xml:space="preserve">Qué contiene y para qué sirve, en 2–3 líneas.</t>
  </si>
  <si>
    <t xml:space="preserve">Una fila por estudiante y asignatura con la nota definitiva del periodo. Se usa para promedios, alertas de bajo rendimiento y reportes a decanaturas.</t>
  </si>
  <si>
    <t xml:space="preserve">Un registro por cada contrato que una entidad pública con sede en Antioquia firmó electrónicamente en SECOP II: quién contrató, con quién, por cuánto, con qué modalidad y en qué fechas. ORCA lo usa para priorizar qué contratos y entidades vigilar primero según señales de riesgo (contratación directa, firmas en ventanas atípicas, concentración de proveedores, valores atípicos).</t>
  </si>
  <si>
    <t xml:space="preserve">Organización / proceso</t>
  </si>
  <si>
    <t xml:space="preserve">A qué organización y proceso de negocio pertenece.</t>
  </si>
  <si>
    <t xml:space="preserve">Universidad · proceso de gestión académica</t>
  </si>
  <si>
    <t xml:space="preserve">Contraloría territorial del caso ORCA (inspirada en la Contraloría General de Antioquia) · proceso de vigilancia y control fiscal: selección de qué contratos auditar. El dato lo produce el proceso de compra pública de cada entidad y lo publica Colombia Compra Eficiente.</t>
  </si>
  <si>
    <t xml:space="preserve">Data Owner</t>
  </si>
  <si>
    <t xml:space="preserve">Quién decide las reglas del dato (de la RACI de la Sesión 1).</t>
  </si>
  <si>
    <t xml:space="preserve">Vicerrectoría Académica</t>
  </si>
  <si>
    <t xml:space="preserve">Luis Ángel Seoanes Ovieso (Data Owner del proyecto; en la entidad del caso, el Contralor Auxiliar del sector)</t>
  </si>
  <si>
    <t xml:space="preserve">Data Steward</t>
  </si>
  <si>
    <t xml:space="preserve">Quién lo cuida en el día a día.</t>
  </si>
  <si>
    <t xml:space="preserve">Admisiones y Registro</t>
  </si>
  <si>
    <t xml:space="preserve">Julian Amariles Taborda (Data Steward)</t>
  </si>
  <si>
    <t xml:space="preserve">Custodio técnico</t>
  </si>
  <si>
    <t xml:space="preserve">Quién mantiene el sistema donde vive.</t>
  </si>
  <si>
    <t xml:space="preserve">Oficina de TI</t>
  </si>
  <si>
    <t xml:space="preserve">Katheryn Ramírez Chimá (custodio técnico del pipeline de ORCA). En la fuente: Colombia Compra Eficiente, Subdirección de Información y Desarrollo Tecnológico</t>
  </si>
  <si>
    <t xml:space="preserve">Fuente / sistema de origen</t>
  </si>
  <si>
    <t xml:space="preserve">De dónde sale. Si es de datos.gov.co, pongan la URL.</t>
  </si>
  <si>
    <t xml:space="preserve">Sistema académico (lo registra cada docente)</t>
  </si>
  <si>
    <t xml:space="preserve">https://www.datos.gov.co/d/jbjy-vk9h — SECOP II, plataforma de compra pública. Lo registran las entidades contratantes y lo publica la Agencia Nacional de Contratación Pública – Colombia Compra Eficiente</t>
  </si>
  <si>
    <t xml:space="preserve">Ubicación</t>
  </si>
  <si>
    <t xml:space="preserve">Dónde está guardado hoy.</t>
  </si>
  <si>
    <t xml:space="preserve">Bodega de datos · esquema académico · tabla notas</t>
  </si>
  <si>
    <t xml:space="preserve">Fuente: datos.gov.co (API https://www.datos.gov.co/resource/jbjy-vk9h.json). En ORCA: data/raw/DS-01_secop2_contratos_&lt;AAAAMMDD&gt;.parquet + manifiesto de linaje .manifest.json, fuera del repositorio porque contiene datos personales</t>
  </si>
  <si>
    <t xml:space="preserve">Formato</t>
  </si>
  <si>
    <t xml:space="preserve">CSV, XLSX, base de datos, API…</t>
  </si>
  <si>
    <t xml:space="preserve">Tabla en base de datos</t>
  </si>
  <si>
    <t xml:space="preserve">API SODA (JSON), también descargable en CSV desde el portal · ORCA lo guarda en Parquet</t>
  </si>
  <si>
    <t xml:space="preserve">Frecuencia de actualización</t>
  </si>
  <si>
    <t xml:space="preserve">Cada cuánto cambia (lista).</t>
  </si>
  <si>
    <t xml:space="preserve">Semestral</t>
  </si>
  <si>
    <t xml:space="preserve">Diaria</t>
  </si>
  <si>
    <t xml:space="preserve">La fuente se actualiza a diario. ORCA carga a diario con una ventana móvil de 90 días por fecha de firma.</t>
  </si>
  <si>
    <t xml:space="preserve">Fecha de última actualización</t>
  </si>
  <si>
    <t xml:space="preserve">DD/MM/AAAA o «Desconocido».</t>
  </si>
  <si>
    <t xml:space="preserve">21/06/2026</t>
  </si>
  <si>
    <t xml:space="preserve">19/10/2026</t>
  </si>
  <si>
    <t xml:space="preserve">Fecha de la última carga de la fuente. La fecha de cambio de cada registro es Desconocida: la columna ultima_actualizacion está vacía en el 97,8 % de los registros y la marca de la plataforma se reescribe a diario para todo el dataset.</t>
  </si>
  <si>
    <t xml:space="preserve">Periodo y cobertura</t>
  </si>
  <si>
    <t xml:space="preserve">Qué años y qué población o territorio abarca.</t>
  </si>
  <si>
    <t xml:space="preserve">2020-1 a 2026-1 · pregrado, sede Medellín</t>
  </si>
  <si>
    <t xml:space="preserve">Firmas del 01/01/2024 al 17/10/2026 · entidades públicas con sede en Antioquia de los órdenes territorial, nacional y corporaciones autónomas (la fuente completa es nacional, desde 2019)</t>
  </si>
  <si>
    <t xml:space="preserve">Nº de registros / Nº de columnas</t>
  </si>
  <si>
    <t xml:space="preserve">Cuéntenlos en el archivo.</t>
  </si>
  <si>
    <t xml:space="preserve">18.420 registros · 8 columnas</t>
  </si>
  <si>
    <t xml:space="preserve">291.406 registros · 95 columnas (corte 19/10/2026; 90 documentadas en la hoja 2 y 5 por identificar). Lote más reciente: 291.719 registros (corte 23/10/2026).</t>
  </si>
  <si>
    <t xml:space="preserve">La fuente cambia hacia atrás: con el mismo filtro había 302.507 registros el 27/09/2026. Por eso cada lote se congela con su hash y su fecha de corte. En toda la fuente hay 5.643.434 registros.</t>
  </si>
  <si>
    <t xml:space="preserve">Clasificación de sensibilidad</t>
  </si>
  <si>
    <t xml:space="preserve">Pública, Uso interno, Confidencial o Restringida (lista).</t>
  </si>
  <si>
    <t xml:space="preserve">Confidencial</t>
  </si>
  <si>
    <t xml:space="preserve">Confidencial porque contiene datos personales en claro. La fuente es pública, pero la copia de ORCA no: versión seudonimizada = Uso interno; indicadores agregados = Pública.</t>
  </si>
  <si>
    <t xml:space="preserve">¿Contiene datos personales?</t>
  </si>
  <si>
    <t xml:space="preserve">Sí / No / Parcial (Ley 1581 de 2012).</t>
  </si>
  <si>
    <t xml:space="preserve">Sí</t>
  </si>
  <si>
    <t xml:space="preserve">80,8 % de los contratos son con personas naturales (cédula): documento y nombre del contratista, más nombres y documentos de supervisores y ordenadores del gasto. No contiene datos sensibles (salud, religión, biometría).</t>
  </si>
  <si>
    <t xml:space="preserve">Condiciones de uso / licencia</t>
  </si>
  <si>
    <t xml:space="preserve">Quién lo puede usar y para qué.</t>
  </si>
  <si>
    <t xml:space="preserve">Solo uso interno académico; no se comparte con terceros.</t>
  </si>
  <si>
    <t xml:space="preserve">Licencia Creative Commons Atribución–CompartirIgual 4.0 (CC BY-SA 4.0): uso libre citando la fuente. Como contiene datos personales, ORCA lo usa solo para vigilancia fiscal (principio de finalidad, Ley 1581 de 2012): la copia con cédulas en claro tiene acceso restringido y lo que se publica va seudonimizado.</t>
  </si>
  <si>
    <t xml:space="preserve">Contacto para dudas</t>
  </si>
  <si>
    <t xml:space="preserve">Correo o cargo, no una persona «que sabe».</t>
  </si>
  <si>
    <t xml:space="preserve">registro@universidad.edu.co</t>
  </si>
  <si>
    <t xml:space="preserve">Cargo: Data Steward del equipo ORCA (canal del equipo en Teams) · sobre la fuente: Colombia Compra Eficiente, https://colombiacompra.gov.co</t>
  </si>
  <si>
    <t xml:space="preserve">Campos completos:</t>
  </si>
  <si>
    <t xml:space="preserve">2 · Diccionario de datos</t>
  </si>
  <si>
    <t xml:space="preserve">Una fila por columna del dataset. Mínimo 8 columnas. Empiecen por las más confusas. La fila gris es el ejemplo.</t>
  </si>
  <si>
    <t xml:space="preserve">#</t>
  </si>
  <si>
    <t xml:space="preserve">Nombre actual (como viene)</t>
  </si>
  <si>
    <t xml:space="preserve">Nombre estándar propuesto</t>
  </si>
  <si>
    <t xml:space="preserve">Nombre de negocio</t>
  </si>
  <si>
    <t xml:space="preserve">Descripción (prueba del recién llegado)</t>
  </si>
  <si>
    <t xml:space="preserve">Tipo de dato</t>
  </si>
  <si>
    <t xml:space="preserve">Formato / unidad</t>
  </si>
  <si>
    <t xml:space="preserve">Valores permitidos / rango</t>
  </si>
  <si>
    <t xml:space="preserve">¿Admite vacíos?</t>
  </si>
  <si>
    <t xml:space="preserve">Ejemplo</t>
  </si>
  <si>
    <t xml:space="preserve">Sensibilidad</t>
  </si>
  <si>
    <t xml:space="preserve">Regla de calidad (medible)</t>
  </si>
  <si>
    <t xml:space="preserve">Fuente</t>
  </si>
  <si>
    <t xml:space="preserve">Responsable (Steward)</t>
  </si>
  <si>
    <t xml:space="preserve">Resultado medido (corte 19/10/2026 en # 1–20; 23/10/2026 en # 21–90)</t>
  </si>
  <si>
    <t xml:space="preserve">Ej.</t>
  </si>
  <si>
    <t xml:space="preserve">NF</t>
  </si>
  <si>
    <t xml:space="preserve">nota_final</t>
  </si>
  <si>
    <t xml:space="preserve">Nota definitiva</t>
  </si>
  <si>
    <t xml:space="preserve">Nota con la que el estudiante aprueba o reprueba la asignatura en el periodo. Se aprueba con 3.0.</t>
  </si>
  <si>
    <t xml:space="preserve">Decimal</t>
  </si>
  <si>
    <t xml:space="preserve">1 decimal · escala 0.0–5.0</t>
  </si>
  <si>
    <t xml:space="preserve">Mínimo 0.0 y máximo 5.0</t>
  </si>
  <si>
    <t xml:space="preserve">No</t>
  </si>
  <si>
    <t xml:space="preserve">4.2</t>
  </si>
  <si>
    <t xml:space="preserve">Dato personal</t>
  </si>
  <si>
    <t xml:space="preserve">100 % de valores entre 0.0 y 5.0; una sola nota por estudiante-asignatura-periodo</t>
  </si>
  <si>
    <t xml:space="preserve">Sistema académico</t>
  </si>
  <si>
    <t xml:space="preserve">Lo agregó el equipo: resultado de la regla de calidad sobre 291.406 registros (evidencia: perfil_ds01.json)</t>
  </si>
  <si>
    <t xml:space="preserve">id_contrato</t>
  </si>
  <si>
    <t xml:space="preserve">ID del contrato</t>
  </si>
  <si>
    <t xml:space="preserve">Identificador único que SECOP II asigna a cada contrato electrónico al crearlo. Es la llave primaria: un registro = un contrato. No cambia aunque el contrato se modifique o se ceda.</t>
  </si>
  <si>
    <t xml:space="preserve">Texto</t>
  </si>
  <si>
    <t xml:space="preserve">CO1.PCCNTR.&lt;número&gt; (ej.: CO1.PCCNTR.9454993)</t>
  </si>
  <si>
    <t xml:space="preserve">Prefijo fijo «CO1.PCCNTR.» seguido de dígitos</t>
  </si>
  <si>
    <t xml:space="preserve">CO1.PCCNTR.9454993</t>
  </si>
  <si>
    <t xml:space="preserve">Pública</t>
  </si>
  <si>
    <t xml:space="preserve">0 vacíos · 0 duplicados · 100 % cumple el patrón CO1.PCCNTR.&lt;dígitos&gt;</t>
  </si>
  <si>
    <t xml:space="preserve">SECOP II – Contratos (jbjy-vk9h), datos.gov.co</t>
  </si>
  <si>
    <t xml:space="preserve">Julian Amariles Taborda</t>
  </si>
  <si>
    <t xml:space="preserve">0 vacíos · 0 duplicados en 291.406 registros</t>
  </si>
  <si>
    <t xml:space="preserve">proceso_de_compra</t>
  </si>
  <si>
    <t xml:space="preserve">id_proceso_compra</t>
  </si>
  <si>
    <t xml:space="preserve">ID del proceso de compra</t>
  </si>
  <si>
    <t xml:space="preserve">Identificador del proceso de selección (la convocatoria) del que salió el contrato. Un proceso puede generar varios contratos, por ejemplo cuando se adjudica por lotes, por eso se repite. Une con DS-02 Procesos (id_del_portafolio).</t>
  </si>
  <si>
    <t xml:space="preserve">CO1.BDOS.&lt;número&gt; (ej.: CO1.BDOS.10028279)</t>
  </si>
  <si>
    <t xml:space="preserve">Prefijo fijo «CO1.BDOS.» seguido de dígitos</t>
  </si>
  <si>
    <t xml:space="preserve">CO1.BDOS.10028279</t>
  </si>
  <si>
    <t xml:space="preserve">0 vacíos · ≥ 95 % de los valores existen en DS-02 (integridad referencial)</t>
  </si>
  <si>
    <t xml:space="preserve">0 vacíos · 281.650 procesos distintos; 1.782 con más de un contrato · cruce con DS-02: se mide en la Sesión 3</t>
  </si>
  <si>
    <t xml:space="preserve">nombre_entidad</t>
  </si>
  <si>
    <t xml:space="preserve">nom_entidad</t>
  </si>
  <si>
    <t xml:space="preserve">Entidad contratante</t>
  </si>
  <si>
    <t xml:space="preserve">Nombre con el que la entidad pública contratante se registró en SECOP II. Lo digita la entidad, por eso tiene variantes (asteriscos, siglas, «//») y las dependencias de un municipio (alcaldía, concejo, personería) aparecen con nombres distintos bajo un mismo NIT. Para agrupar por entidad se usa el NIT, no este nombre.</t>
  </si>
  <si>
    <t xml:space="preserve">Texto libre en mayúsculas</t>
  </si>
  <si>
    <t xml:space="preserve">Texto libre; tras normalizar, un nombre por NIT</t>
  </si>
  <si>
    <t xml:space="preserve">ALCALDIA DE CAUCASIA</t>
  </si>
  <si>
    <t xml:space="preserve">0 vacíos · 0 nombres terminados en «*» o «/» tras normalizar · cada NIT con un único nombre normalizado</t>
  </si>
  <si>
    <t xml:space="preserve">0 vacíos · 567 nombres para 446 NIT · 84 NIT con más de un nombre (ej.: 890905211 = Concejo, Distrito y Personería de Medellín): NO cumple</t>
  </si>
  <si>
    <t xml:space="preserve">nit_entidad</t>
  </si>
  <si>
    <t xml:space="preserve">id_nit_entidad</t>
  </si>
  <si>
    <t xml:space="preserve">NIT de la entidad</t>
  </si>
  <si>
    <t xml:space="preserve">Número de Identificación Tributaria (DIAN) de la entidad contratante. Identifica a la persona jurídica, no a la dependencia: el concejo y la alcaldía de un municipio comparten NIT. Algunas entidades lo registran con el dígito de verificación pegado al final (10 dígitos) y otras sin él (9 dígitos).</t>
  </si>
  <si>
    <t xml:space="preserve">Entero</t>
  </si>
  <si>
    <t xml:space="preserve">9 dígitos, sin puntos, guiones ni dígito de verificación</t>
  </si>
  <si>
    <t xml:space="preserve">800000000 – 999999999 (rango de entidades públicas)</t>
  </si>
  <si>
    <t xml:space="preserve">890906445</t>
  </si>
  <si>
    <t xml:space="preserve">0 vacíos · 100 % con 9 dígitos después de quitar el dígito de verificación · existe en la lista de sujetos de control</t>
  </si>
  <si>
    <t xml:space="preserve">0 vacíos · 446 NIT distintos · rango 800.003.935 – 9.020.055.758 (los de 10 dígitos traen el dígito de verificación)</t>
  </si>
  <si>
    <t xml:space="preserve">ciudad</t>
  </si>
  <si>
    <t xml:space="preserve">nom_municipio_entidad</t>
  </si>
  <si>
    <t xml:space="preserve">Municipio de la entidad</t>
  </si>
  <si>
    <t xml:space="preserve">Municipio donde está registrada la sede de la entidad contratante, no el lugar donde se ejecuta el contrato. Viene sin código DANE y con tildes inconsistentes («Itagui», «Sonson»); se estandariza contra DIVIPOLA (DS-03).</t>
  </si>
  <si>
    <t xml:space="preserve">Código/categoría</t>
  </si>
  <si>
    <t xml:space="preserve">Nombre del municipio</t>
  </si>
  <si>
    <t xml:space="preserve">Uno de los 125 municipios de Antioquia en DIVIPOLA · «No Definido» = la entidad no registró municipio (vacío disfrazado)</t>
  </si>
  <si>
    <t xml:space="preserve">No (pero trae «No Definido»)</t>
  </si>
  <si>
    <t xml:space="preserve">Envigado</t>
  </si>
  <si>
    <t xml:space="preserve">≤ 1 % de «No Definido» · 100 % cruza con un municipio de Antioquia en DIVIPOLA después de normalizar tildes</t>
  </si>
  <si>
    <t xml:space="preserve">119 valores distintos · 19.670 «No Definido» (6,75 %): NO cumple</t>
  </si>
  <si>
    <t xml:space="preserve">orden</t>
  </si>
  <si>
    <t xml:space="preserve">cod_orden_entidad</t>
  </si>
  <si>
    <t xml:space="preserve">Orden de la entidad</t>
  </si>
  <si>
    <t xml:space="preserve">Nivel del Estado al que pertenece la entidad contratante. Define quién la vigila: las del orden territorial son sujetos de control de la contraloría territorial; las del orden nacional, de la Contraloría General.</t>
  </si>
  <si>
    <t xml:space="preserve">Etiqueta</t>
  </si>
  <si>
    <t xml:space="preserve">Territorial · Nacional · Corporación Autónoma</t>
  </si>
  <si>
    <t xml:space="preserve">Territorial</t>
  </si>
  <si>
    <t xml:space="preserve">0 vacíos · 100 % de valores en la lista permitida</t>
  </si>
  <si>
    <t xml:space="preserve">0 vacíos · Territorial 183.202 · Nacional 106.081 · Corporación Autónoma 2.123: cumple</t>
  </si>
  <si>
    <t xml:space="preserve">estado_contrato</t>
  </si>
  <si>
    <t xml:space="preserve">cod_estado_contrato</t>
  </si>
  <si>
    <t xml:space="preserve">Estado del contrato</t>
  </si>
  <si>
    <t xml:space="preserve">Situación del contrato en SECOP II en la fecha de corte. Mezcla etapas del ciclo de vida con eventos: un contrato «Modificado» tuvo al menos un cambio registrado y no dice si sigue en ejecución. El valor cambia con el tiempo, por eso se lee junto con la fecha de corte del lote.</t>
  </si>
  <si>
    <t xml:space="preserve">Etiqueta; la fuente mezcla mayúsculas y minúsculas</t>
  </si>
  <si>
    <t xml:space="preserve">Aprobado = firmado, sin iniciar ejecución · En ejecución · Modificado = con al menos una modificación · Suspendido · cedido = el contratista lo traspasó a otro · terminado = venció el plazo, falta liquidar · Cerrado = liquidado</t>
  </si>
  <si>
    <t xml:space="preserve">En ejecución</t>
  </si>
  <si>
    <t xml:space="preserve">0 vacíos · 100 % en la lista de 7 estados (sin distinguir mayúsculas)</t>
  </si>
  <si>
    <t xml:space="preserve">0 vacíos · 7 estados: cumple · «terminado» y «cedido» vienen en minúscula</t>
  </si>
  <si>
    <t xml:space="preserve">tipo_de_contrato</t>
  </si>
  <si>
    <t xml:space="preserve">cod_tipo_contrato</t>
  </si>
  <si>
    <t xml:space="preserve">Tipo de contrato</t>
  </si>
  <si>
    <t xml:space="preserve">Clase de contrato según lo que se compra (servicios, obra, suministro, arriendo…). No dice cómo se escogió al contratista: eso es la modalidad.</t>
  </si>
  <si>
    <t xml:space="preserve">21 valores. Principales: Prestación de servicios (84,7 %), Otro, Suministros, Decreto 092 de 2017 (convenios con entidades sin ánimo de lucro), Arrendamiento de inmuebles, Compraventa, Obra · «No Definido» y «No Especificado» = sin dato</t>
  </si>
  <si>
    <t xml:space="preserve">Prestación de servicios</t>
  </si>
  <si>
    <t xml:space="preserve">0 vacíos · «No Definido» + «No Especificado» ≤ 0,1 %</t>
  </si>
  <si>
    <t xml:space="preserve">0 vacíos · 46 sin dato (5 «No Definido» + 41 «No Especificado») = 0,02 %: cumple</t>
  </si>
  <si>
    <t xml:space="preserve">modalidad_de_contratacion</t>
  </si>
  <si>
    <t xml:space="preserve">cod_modalidad_contratacion</t>
  </si>
  <si>
    <t xml:space="preserve">Modalidad de contratación</t>
  </si>
  <si>
    <t xml:space="preserve">Procedimiento legal con el que la entidad escogió al contratista. Es la variable central de riesgo: en la contratación directa la entidad elige sin competencia; en licitación, selección abreviada, mínima cuantía o concurso hay competencia pública. Las variantes «(con ofertas)» indican que, siendo directa o de régimen especial, se recibieron ofertas.</t>
  </si>
  <si>
    <t xml:space="preserve">14 valores agrupados en 3: sin competencia (Contratación directa, Régimen especial) · con ofertas (variantes «con ofertas») · competitiva (Licitación pública, Selección abreviada, Mínima cuantía, Concurso de méritos, Enajenación) · «No Definido» = sin dato</t>
  </si>
  <si>
    <t xml:space="preserve">Contratación directa</t>
  </si>
  <si>
    <t xml:space="preserve">0 vacíos · «No Definido» ≤ 0,1 % · 100 % de valores asignados a uno de los 3 grupos</t>
  </si>
  <si>
    <t xml:space="preserve">62 «No Definido» (0,02 %): cumple · Contratación directa = 240.305 (82,5 %)</t>
  </si>
  <si>
    <t xml:space="preserve">justificacion_modalidad_de</t>
  </si>
  <si>
    <t xml:space="preserve">cod_causal_modalidad</t>
  </si>
  <si>
    <t xml:space="preserve">Causal de la modalidad</t>
  </si>
  <si>
    <t xml:space="preserve">Causal legal que la entidad invoca para usar la modalidad elegida, sobre todo para justificar la contratación directa. Distingue la directa habitual (servicios profesionales) de causales excepcionales como la urgencia manifiesta.</t>
  </si>
  <si>
    <t xml:space="preserve">Etiqueta; algunas llegan como códigos técnicos en inglés</t>
  </si>
  <si>
    <t xml:space="preserve">36 valores. Ej.: «Servicios profesionales y apoyo a la gestión» · «Urgencia manifiesta» · «Law2166of2021_Article95_SolidarityAgreements» = convenios solidarios, art. 95 Ley 2166 de 2021 · «Article30_1993» = art. 30 Ley 80 de 1993 (licitación) · «No Definido» = sin dato</t>
  </si>
  <si>
    <t xml:space="preserve">Servicios profesionales y apoyo a la gestión</t>
  </si>
  <si>
    <t xml:space="preserve">0 vacíos · «No Definido» ≤ 0,1 % · 100 % de los códigos en inglés traducidos en la tabla de equivalencias</t>
  </si>
  <si>
    <t xml:space="preserve">43 «No Definido» (0,01 %): cumple · 357 por urgencia manifiesta</t>
  </si>
  <si>
    <t xml:space="preserve">fecha_de_firma</t>
  </si>
  <si>
    <t xml:space="preserve">fec_firma_contrato</t>
  </si>
  <si>
    <t xml:space="preserve">Fecha de firma</t>
  </si>
  <si>
    <t xml:space="preserve">Día en que el contrato quedó firmado electrónicamente por ambas partes. Define el alcance de ORCA (desde el 01/01/2024) y es la fecha con la que se detectan firmas en ventanas atípicas (antes de la Ley de Garantías, fin de año).</t>
  </si>
  <si>
    <t xml:space="preserve">Fecha</t>
  </si>
  <si>
    <t xml:space="preserve">AAAA-MM-DD (la API agrega «T00:00:00.000»; la hora no tiene significado)</t>
  </si>
  <si>
    <t xml:space="preserve">Desde 2024-01-01 hasta la fecha de corte</t>
  </si>
  <si>
    <t xml:space="preserve">2026-05-07</t>
  </si>
  <si>
    <t xml:space="preserve">0 vacíos · 0 fechas posteriores a la fecha de corte</t>
  </si>
  <si>
    <t xml:space="preserve">0 vacíos dentro del alcance (en todo Antioquia hay 5.796 sin fecha y quedan fuera) · rango 2024-01-01 a 2026-10-17 · 0 en el futuro: cumple</t>
  </si>
  <si>
    <t xml:space="preserve">fecha_de_inicio_del_contrato</t>
  </si>
  <si>
    <t xml:space="preserve">fec_inicio_contrato</t>
  </si>
  <si>
    <t xml:space="preserve">Fecha de inicio</t>
  </si>
  <si>
    <t xml:space="preserve">Fecha desde la que el contratista empieza a responder por sus obligaciones (acta de inicio). Puede ser posterior a la firma; si es anterior, el contrato se habría ejecutado antes de existir.</t>
  </si>
  <si>
    <t xml:space="preserve">AAAA-MM-DD</t>
  </si>
  <si>
    <t xml:space="preserve">Igual o posterior a la fecha de firma e igual o anterior a la fecha de fin</t>
  </si>
  <si>
    <t xml:space="preserve">Sí (contratos sin iniciar)</t>
  </si>
  <si>
    <t xml:space="preserve">2026-08-27</t>
  </si>
  <si>
    <t xml:space="preserve">≤ 1 % vacíos · 0 fechas de inicio anteriores a la firma · 0 posteriores a la fecha de fin</t>
  </si>
  <si>
    <t xml:space="preserve">2.625 vacíos (0,90 %) · 10 inician antes de la firma: NO cumple · rango 2017-10-19 a 2035-11-07</t>
  </si>
  <si>
    <t xml:space="preserve">fecha_de_fin_del_contrato</t>
  </si>
  <si>
    <t xml:space="preserve">fec_fin_contrato</t>
  </si>
  <si>
    <t xml:space="preserve">Fecha de terminación</t>
  </si>
  <si>
    <t xml:space="preserve">Fecha pactada en que terminan las obligaciones del contratista según el contrato registrado en SECOP II.</t>
  </si>
  <si>
    <t xml:space="preserve">Igual o posterior a la fecha de inicio y como máximo 30 años después</t>
  </si>
  <si>
    <t xml:space="preserve">2026-12-31</t>
  </si>
  <si>
    <t xml:space="preserve">0 vacíos · 0 fechas de fin anteriores al inicio · 0 a más de 30 años del inicio</t>
  </si>
  <si>
    <t xml:space="preserve">1 vacío · 85 terminan antes de iniciar · 6 después de 2050 (máximo: año 2925): NO cumple</t>
  </si>
  <si>
    <t xml:space="preserve">tipodocproveedor</t>
  </si>
  <si>
    <t xml:space="preserve">cod_tipo_documento_proveedor</t>
  </si>
  <si>
    <t xml:space="preserve">Tipo de documento del contratista</t>
  </si>
  <si>
    <t xml:space="preserve">Tipo de documento con que se identifica el contratista. Dice si es una persona natural (cédula, pasaporte, permiso de permanencia…) o una empresa (NIT), y por eso decide si el documento y el nombre del contratista son datos personales.</t>
  </si>
  <si>
    <t xml:space="preserve">Cédula de Ciudadanía (80,8 %) · NIT (18,8 %) · Cédula de Extranjería · Permiso por Protección Temporal · Pasaporte · Tarjeta de Identidad · Registro Civil · Permiso especial de permanencia · Otro · «No Definido» = sin dato</t>
  </si>
  <si>
    <t xml:space="preserve">Cédula de Ciudadanía</t>
  </si>
  <si>
    <t xml:space="preserve">0 vacíos · «No Definido» ≤ 0,5 %</t>
  </si>
  <si>
    <t xml:space="preserve">396 «No Definido» (0,14 %): cumple · 6 Tarjeta de Identidad y 4 Registro Civil (documentos de menores de edad: revisar)</t>
  </si>
  <si>
    <t xml:space="preserve">documento_proveedor</t>
  </si>
  <si>
    <t xml:space="preserve">id_documento_proveedor</t>
  </si>
  <si>
    <t xml:space="preserve">Documento del contratista</t>
  </si>
  <si>
    <t xml:space="preserve">Número del documento de identidad del contratista, sin puntos: cédula si es persona, NIT si es empresa. Identifica a la persona de forma única y es lo que permite cruzar a un mismo contratista entre entidades.</t>
  </si>
  <si>
    <t xml:space="preserve">Solo dígitos (puede traer ceros a la izquierda; algunos NIT traen el dígito de verificación)</t>
  </si>
  <si>
    <t xml:space="preserve">Dígitos · «No Definido» = sin dato</t>
  </si>
  <si>
    <t xml:space="preserve">1234567890 (ficticio)</t>
  </si>
  <si>
    <t xml:space="preserve">0 vacíos · «No Definido» ≤ 0,5 % · 100 % solo dígitos · NIT con 9 o 10 dígitos</t>
  </si>
  <si>
    <t xml:space="preserve">552 «No Definido» (0,19 %): cumple · 82.859 contratistas distintos · 650 NIT con menos de 9 dígitos: NO cumple</t>
  </si>
  <si>
    <t xml:space="preserve">proveedor_adjudicado</t>
  </si>
  <si>
    <t xml:space="preserve">nom_proveedor</t>
  </si>
  <si>
    <t xml:space="preserve">Contratista</t>
  </si>
  <si>
    <t xml:space="preserve">Nombre o razón social del contratista al que se adjudicó el contrato, tal como aparece en su registro de SECOP II.</t>
  </si>
  <si>
    <t xml:space="preserve">Texto libre</t>
  </si>
  <si>
    <t xml:space="preserve">Texto libre · «No Definido» = sin dato</t>
  </si>
  <si>
    <t xml:space="preserve">NOMBRE APELLIDO (ficticio)</t>
  </si>
  <si>
    <t xml:space="preserve">0 vacíos · «No Definido» ≤ 0,1 % · un mismo documento tiene un solo nombre</t>
  </si>
  <si>
    <t xml:space="preserve">76 «No Definido» (0,03 %): cumple · 82.451 nombres para 82.859 documentos</t>
  </si>
  <si>
    <t xml:space="preserve">es_pyme</t>
  </si>
  <si>
    <t xml:space="preserve">ind_pyme</t>
  </si>
  <si>
    <t xml:space="preserve">¿Es mipyme?</t>
  </si>
  <si>
    <t xml:space="preserve">Indica si el contratista se declaró micro, pequeña o mediana empresa en su registro de SECOP II. Es autodeclarado y nadie lo verifica; para personas naturales casi siempre viene «No».</t>
  </si>
  <si>
    <t xml:space="preserve">Sí/No</t>
  </si>
  <si>
    <t xml:space="preserve">Si / No (la fuente escribe «Si» sin tilde)</t>
  </si>
  <si>
    <t xml:space="preserve">Si · No</t>
  </si>
  <si>
    <t xml:space="preserve">0 vacíos · 100 % en {Si, No}</t>
  </si>
  <si>
    <t xml:space="preserve">0 vacíos · Si 35.553 (12,2 %) · No 255.853: cumple</t>
  </si>
  <si>
    <t xml:space="preserve">valor_del_contrato</t>
  </si>
  <si>
    <t xml:space="preserve">val_contrato</t>
  </si>
  <si>
    <t xml:space="preserve">Valor del contrato</t>
  </si>
  <si>
    <t xml:space="preserve">Valor total del contrato registrado en SECOP II, en pesos colombianos corrientes. Un valor de $0 es legítimo solo en convenios interadministrativos sin valor. La fuente no aclara si, tras una adición, este valor es el inicial o el actualizado (ver duda 1).</t>
  </si>
  <si>
    <t xml:space="preserve">Pesos colombianos (COP), sin decimales ni separadores</t>
  </si>
  <si>
    <t xml:space="preserve">≥ 0 · $0 solo con causal «convenio interadministrativo (valor cero)» · &gt; $100.000 millones requiere revisión manual</t>
  </si>
  <si>
    <t xml:space="preserve">48954135</t>
  </si>
  <si>
    <t xml:space="preserve">0 vacíos · 0 negativos · 0 contratos en $0 sin causal de valor cero · contratos &gt; $100.000 millones revisados al 100 %</t>
  </si>
  <si>
    <t xml:space="preserve">0 vacíos · 0 negativos · 2.804 en $0 (cruce con la causal de valor cero: se mide en la Sesión 3) · 47 por encima de $100.000 millones · máximo $1,16 billones</t>
  </si>
  <si>
    <t xml:space="preserve">dias_adicionados</t>
  </si>
  <si>
    <t xml:space="preserve">cant_dias_adicionados</t>
  </si>
  <si>
    <t xml:space="preserve">Días de prórroga</t>
  </si>
  <si>
    <t xml:space="preserve">Número de días que se ha extendido el plazo del contrato mediante prórrogas registradas en SECOP II. 0 = sin prórrogas.</t>
  </si>
  <si>
    <t xml:space="preserve">Días calendario</t>
  </si>
  <si>
    <t xml:space="preserve">0 a 3.650 (10 años)</t>
  </si>
  <si>
    <t xml:space="preserve">0</t>
  </si>
  <si>
    <t xml:space="preserve">0 vacíos · 0 negativos · 0 valores mayores a 3.650</t>
  </si>
  <si>
    <t xml:space="preserve">0 vacíos · 249.772 en 0 (85,7 %) · 7 por encima de 3.650 · máximo 730.546 días (≈ 2.000 años, error de digitación): NO cumple</t>
  </si>
  <si>
    <t xml:space="preserve">urlproceso</t>
  </si>
  <si>
    <t xml:space="preserve">url_proceso_secop</t>
  </si>
  <si>
    <t xml:space="preserve">Enlace al proceso en SECOP II</t>
  </si>
  <si>
    <t xml:space="preserve">Enlace a la página pública del proceso en SECOP II, donde están los documentos (estudios previos, ofertas, contrato firmado). Es lo que usa el auditor para ir de la alerta a la evidencia. Se propone el prefijo url_, que no está en la lista estándar, porque ninguno de los existentes describe un enlace.</t>
  </si>
  <si>
    <t xml:space="preserve">https://community.secop.gov.co/Public/Tendering/OpportunityDetail/Index?noticeUID=CO1.NTC.&lt;número&gt;…</t>
  </si>
  <si>
    <t xml:space="preserve">Enlace a community.secop.gov.co</t>
  </si>
  <si>
    <t xml:space="preserve">https://community.secop.gov.co/Public/Tendering/OpportunityDetail/Index?noticeUID=CO1.NTC.10106403…</t>
  </si>
  <si>
    <t xml:space="preserve">0 vacíos · 100 % empieza por https://community.secop.gov.co</t>
  </si>
  <si>
    <t xml:space="preserve">0 vacíos · prefijo: se mide en la Sesión 3 sobre el lote descargado (la API no filtra texto en columnas URL)</t>
  </si>
  <si>
    <t xml:space="preserve">departamento</t>
  </si>
  <si>
    <t xml:space="preserve">nom_departamento_entidad</t>
  </si>
  <si>
    <t xml:space="preserve">Departamento de la entidad</t>
  </si>
  <si>
    <t xml:space="preserve">Departamento donde está registrada la sede de la entidad contratante; no es donde se ejecuta el contrato. En el alcance de ORCA todo es de Antioquia, mientras la fuente completa cubre todo el país.</t>
  </si>
  <si>
    <t xml:space="preserve">Nombre del departamento</t>
  </si>
  <si>
    <t xml:space="preserve">Antioquia (único valor en el alcance de ORCA)</t>
  </si>
  <si>
    <t xml:space="preserve">Antioquia</t>
  </si>
  <si>
    <t xml:space="preserve">0 vacíos · 100 % igual a «Antioquia» en el alcance de ORCA</t>
  </si>
  <si>
    <t xml:space="preserve">Corte 23/10: 0 vacíos · 1 valor distinto: cumple</t>
  </si>
  <si>
    <t xml:space="preserve">localizaci_n</t>
  </si>
  <si>
    <t xml:space="preserve">desc_localizacion_entidad</t>
  </si>
  <si>
    <t xml:space="preserve">Ubicación de la entidad</t>
  </si>
  <si>
    <t xml:space="preserve">Ubicación de la entidad contratante escrita en una sola cadena de texto (país, departamento y municipio). Repite ciudad y departamento, pero con más variantes de escritura; por eso no se usa para agrupar.</t>
  </si>
  <si>
    <t xml:space="preserve">Texto libre: país, departamento, municipio</t>
  </si>
  <si>
    <t xml:space="preserve">Texto libre; el municipio debe coincidir con DIVIPOLA</t>
  </si>
  <si>
    <t xml:space="preserve">Colombia, Antioquia, Medellín (ilustrativo)</t>
  </si>
  <si>
    <t xml:space="preserve">0 vacíos · el municipio y el departamento del texto coinciden con ciudad y departamento</t>
  </si>
  <si>
    <t xml:space="preserve">Corte 23/10: 0 vacíos · 133 valores distintos: cumple en lo medido · ciudad tiene 118 · coincidencia con ciudad: se mide en la Sesión 3</t>
  </si>
  <si>
    <t xml:space="preserve">sector</t>
  </si>
  <si>
    <t xml:space="preserve">cod_sector_entidad</t>
  </si>
  <si>
    <t xml:space="preserve">Sector de la entidad</t>
  </si>
  <si>
    <t xml:space="preserve">Sector de la administración pública al que pertenece la entidad contratante (educación, salud, servicios públicos, etc.). Sirve para comparar entidades parecidas; llega «No Definido» cuando la entidad no lo registró.</t>
  </si>
  <si>
    <t xml:space="preserve">21 valores en el corte del 23/10/2026 · «No Definido» = sin dato</t>
  </si>
  <si>
    <t xml:space="preserve">Educación (ilustrativo)</t>
  </si>
  <si>
    <t xml:space="preserve">0 vacíos · «No Definido» ≤ 5 % · 100 % dentro del catálogo</t>
  </si>
  <si>
    <t xml:space="preserve">Corte 23/10: 0 vacíos · 53.979 «No Definido» (18,50 %) · 21 valores distintos: NO cumple</t>
  </si>
  <si>
    <t xml:space="preserve">rama</t>
  </si>
  <si>
    <t xml:space="preserve">cod_rama_entidad</t>
  </si>
  <si>
    <t xml:space="preserve">Rama del poder público</t>
  </si>
  <si>
    <t xml:space="preserve">Rama del poder público u organismo al que pertenece la entidad contratante. Complementa a «orden», que dice si la entidad es territorial o nacional.</t>
  </si>
  <si>
    <t xml:space="preserve">4 valores en el corte del 23/10/2026</t>
  </si>
  <si>
    <t xml:space="preserve">Ejecutivo (ilustrativo)</t>
  </si>
  <si>
    <t xml:space="preserve">0 vacíos · 100 % dentro del catálogo (4 valores)</t>
  </si>
  <si>
    <t xml:space="preserve">Corte 23/10: 0 vacíos · 4 valores distintos: cumple</t>
  </si>
  <si>
    <t xml:space="preserve">entidad_centralizada</t>
  </si>
  <si>
    <t xml:space="preserve">ind_entidad_centralizada</t>
  </si>
  <si>
    <t xml:space="preserve">¿Entidad centralizada?</t>
  </si>
  <si>
    <t xml:space="preserve">Indica si la entidad hace parte de la administración central o es descentralizada (con personería y presupuesto propios, como un instituto o una empresa del Estado). Sirve para agrupar entidades por su forma de organización.</t>
  </si>
  <si>
    <t xml:space="preserve">2 valores: centralizada / descentralizada</t>
  </si>
  <si>
    <t xml:space="preserve">Descentralizada (ilustrativo)</t>
  </si>
  <si>
    <t xml:space="preserve">0 vacíos · 100 % dentro del catálogo (2 valores)</t>
  </si>
  <si>
    <t xml:space="preserve">Corte 23/10: 0 vacíos · 2 valores distintos: cumple</t>
  </si>
  <si>
    <t xml:space="preserve">referencia_del_contrato</t>
  </si>
  <si>
    <t xml:space="preserve">id_referencia_contrato</t>
  </si>
  <si>
    <t xml:space="preserve">Número interno del contrato</t>
  </si>
  <si>
    <t xml:space="preserve">Número con que la propia entidad identifica el contrato en sus registros (su consecutivo). No es único: distintas entidades, e incluso una misma entidad, lo repiten. Para identificar un contrato se usa id_contrato.</t>
  </si>
  <si>
    <t xml:space="preserve">Texto libre según la nomenclatura de cada entidad</t>
  </si>
  <si>
    <t xml:space="preserve">Sí (&lt; 0,01 %)</t>
  </si>
  <si>
    <t xml:space="preserve">CD-045-2026 (ilustrativo)</t>
  </si>
  <si>
    <t xml:space="preserve">≤ 0,1 % de vacíos · no se usa como llave porque no es única</t>
  </si>
  <si>
    <t xml:space="preserve">Corte 23/10: 1 vacíos (&lt; 0,01 %) · 254.549 valores distintos: cumple · 254.549 valores distintos para 291.719 contratos: no es llave</t>
  </si>
  <si>
    <t xml:space="preserve">codigo_de_categoria_principal</t>
  </si>
  <si>
    <t xml:space="preserve">cod_categoria_unspsc</t>
  </si>
  <si>
    <t xml:space="preserve">Categoría de lo que se contrata</t>
  </si>
  <si>
    <t xml:space="preserve">Código UNSPSC (clasificador de bienes y servicios de Naciones Unidas) de la categoría principal de lo que se contrata. Permite comparar contratos del mismo tipo de bien o servicio sin leer el texto.</t>
  </si>
  <si>
    <t xml:space="preserve">Código UNSPSC de 8 dígitos; en la fuente puede traer un prefijo de versión (verificar en el lote)</t>
  </si>
  <si>
    <t xml:space="preserve">Códigos existentes en el clasificador UNSPSC</t>
  </si>
  <si>
    <t xml:space="preserve">V1.80111600 (ilustrativo)</t>
  </si>
  <si>
    <t xml:space="preserve">0 vacíos · 100 % existe en el clasificador UNSPSC vigente</t>
  </si>
  <si>
    <t xml:space="preserve">Corte 23/10: 0 vacíos · 4.611 valores distintos: cumple en lo medido · cruce con el clasificador: se mide en la Sesión 3</t>
  </si>
  <si>
    <t xml:space="preserve">descripcion_del_proceso</t>
  </si>
  <si>
    <t xml:space="preserve">desc_proceso_compra</t>
  </si>
  <si>
    <t xml:space="preserve">Descripción del proceso de compra</t>
  </si>
  <si>
    <t xml:space="preserve">Texto libre con que la entidad describe lo que busca contratar en el proceso de selección (la convocatoria). Es distinto del objeto del contrato firmado, que está en objeto_del_contrato. Al ser texto libre puede traer nombres.</t>
  </si>
  <si>
    <t xml:space="preserve">Sí (0,14 %)</t>
  </si>
  <si>
    <t xml:space="preserve">Prestación de servicios de apoyo a la gestión (ilustrativo)</t>
  </si>
  <si>
    <t xml:space="preserve">≤ 0,5 % de vacíos</t>
  </si>
  <si>
    <t xml:space="preserve">Corte 23/10: 410 vacíos (0,14 %) · 158.955 valores distintos: cumple</t>
  </si>
  <si>
    <t xml:space="preserve">fecha_de_inicio_de_ejecucion</t>
  </si>
  <si>
    <t xml:space="preserve">fec_inicio_ejecucion</t>
  </si>
  <si>
    <t xml:space="preserve">Fecha de inicio de ejecución</t>
  </si>
  <si>
    <t xml:space="preserve">Fecha en que arrancan las actividades del contrato. Puede ser distinta de fecha_de_inicio_del_contrato, que marca desde cuándo el contratista responde por sus obligaciones.</t>
  </si>
  <si>
    <t xml:space="preserve">Igual o posterior a la fecha de firma; año entre 1990 y 2100</t>
  </si>
  <si>
    <t xml:space="preserve">Sí (sin medir)</t>
  </si>
  <si>
    <t xml:space="preserve">2026-03-02 (ilustrativo)</t>
  </si>
  <si>
    <t xml:space="preserve">Igual o posterior a fecha_de_firma · año entre 1990 y 2100 · no posterior a la fecha de fin de ejecución</t>
  </si>
  <si>
    <t xml:space="preserve">Sin métrica: la columna no está en el perfil de calidad del lote DS-01 (corte 23/10/2026).</t>
  </si>
  <si>
    <t xml:space="preserve">fecha_de_fin_de_ejecucion</t>
  </si>
  <si>
    <t xml:space="preserve">fec_fin_ejecucion</t>
  </si>
  <si>
    <t xml:space="preserve">Fecha de fin de ejecución</t>
  </si>
  <si>
    <t xml:space="preserve">Fecha en que terminan las actividades del contrato. Puede diferir de fecha_de_fin_del_contrato, que es el fin de las responsabilidades contractuales.</t>
  </si>
  <si>
    <t xml:space="preserve">Igual o posterior a la fecha de inicio de ejecución; año entre 1990 y 2100</t>
  </si>
  <si>
    <t xml:space="preserve">2026-12-15 (ilustrativo)</t>
  </si>
  <si>
    <t xml:space="preserve">Igual o posterior a fecha_de_inicio_de_ejecucion · año entre 1990 y 2100</t>
  </si>
  <si>
    <t xml:space="preserve">condiciones_de_entrega</t>
  </si>
  <si>
    <t xml:space="preserve">cod_condicion_entrega</t>
  </si>
  <si>
    <t xml:space="preserve">Condiciones de entrega</t>
  </si>
  <si>
    <t xml:space="preserve">Condición con que se entrega el bien o se presta el servicio, escogida de una lista de la plataforma. Cuando las condiciones están en el clausulado se marca como acordado previamente. Es un campo opcional.</t>
  </si>
  <si>
    <t xml:space="preserve">20 valores en el corte del 23/10/2026</t>
  </si>
  <si>
    <t xml:space="preserve">Sí (33,21 %)</t>
  </si>
  <si>
    <t xml:space="preserve">Como acordado previamente (ilustrativo)</t>
  </si>
  <si>
    <t xml:space="preserve">100 % de los valores presentes dentro del catálogo de 20 opciones · los vacíos se reportan pero no bloquean (campo opcional)</t>
  </si>
  <si>
    <t xml:space="preserve">Corte 23/10: 96.881 vacíos (33,21 %) · 20 valores distintos: cumple</t>
  </si>
  <si>
    <t xml:space="preserve">es_grupo</t>
  </si>
  <si>
    <t xml:space="preserve">ind_proveedor_grupo</t>
  </si>
  <si>
    <t xml:space="preserve">¿El contratista es un grupo?</t>
  </si>
  <si>
    <t xml:space="preserve">Indica si el contratista es un grupo de entidades (por ejemplo, un consorcio o una unión temporal) y no una sola empresa o persona. CCE publica otro conjunto de datos con la conformación de cada grupo.</t>
  </si>
  <si>
    <t xml:space="preserve">Si / No (como viene en la fuente)</t>
  </si>
  <si>
    <t xml:space="preserve">habilita_pago_adelantado</t>
  </si>
  <si>
    <t xml:space="preserve">ind_pago_adelantado</t>
  </si>
  <si>
    <t xml:space="preserve">¿Permite pago adelantado?</t>
  </si>
  <si>
    <t xml:space="preserve">Indica si el contrato permite que la entidad pague un anticipo antes de recibir el bien o servicio. Conviene mirarlo en contratos grandes: el anticipo expone recursos públicos si el contratista incumple.</t>
  </si>
  <si>
    <t xml:space="preserve">Sí (0,16 %)</t>
  </si>
  <si>
    <t xml:space="preserve">≤ 0,5 % de vacíos · 100 % en {Si, No}</t>
  </si>
  <si>
    <t xml:space="preserve">Corte 23/10: 478 vacíos (0,16 %) · 2 valores distintos: cumple</t>
  </si>
  <si>
    <t xml:space="preserve">liquidaci_n</t>
  </si>
  <si>
    <t xml:space="preserve">ind_liquidacion</t>
  </si>
  <si>
    <t xml:space="preserve">¿Prevé liquidación?</t>
  </si>
  <si>
    <t xml:space="preserve">Marca si el contrato tiene prevista su liquidación (el cierre de cuentas al terminar). El diccionario de CCE lo describe como «ya liquidado», pero la plataforma lo habilita como obligación al crear el contrato; para saber si ya se liquidó se usan las fechas de liquidación y el estado «Cerrado». Significado deducido.</t>
  </si>
  <si>
    <t xml:space="preserve">Si</t>
  </si>
  <si>
    <t xml:space="preserve">0 vacíos · 100 % en {Si, No} · si es Si, existen fechas de liquidación</t>
  </si>
  <si>
    <t xml:space="preserve">Corte 23/10: 0 vacíos · 2 valores distintos: cumple en lo medido · relación con las fechas de liquidación: se mide en la Sesión 3</t>
  </si>
  <si>
    <t xml:space="preserve">obligaci_n_ambiental</t>
  </si>
  <si>
    <t xml:space="preserve">ind_obligacion_ambiental</t>
  </si>
  <si>
    <t xml:space="preserve">¿Tiene obligaciones ambientales?</t>
  </si>
  <si>
    <t xml:space="preserve">Marca si el contrato obliga al contratista a cumplir compromisos ambientales (por ejemplo, manejo de residuos de la obra o del servicio).</t>
  </si>
  <si>
    <t xml:space="preserve">obligaciones_postconsumo</t>
  </si>
  <si>
    <t xml:space="preserve">ind_obligacion_postconsumo</t>
  </si>
  <si>
    <t xml:space="preserve">¿Tiene obligaciones posconsumo?</t>
  </si>
  <si>
    <t xml:space="preserve">Marca si el contrato obliga al contratista a gestionar el bien una vez usado (por ejemplo, recoger llantas, pilas o equipos de cómputo al final de su vida útil). Existe un campo parecido con otra ortografía: obligaciones_posconsumo.</t>
  </si>
  <si>
    <t xml:space="preserve">reversion</t>
  </si>
  <si>
    <t xml:space="preserve">ind_reversion</t>
  </si>
  <si>
    <t xml:space="preserve">¿Prevé reversión de bienes?</t>
  </si>
  <si>
    <t xml:space="preserve">Marca si el contrato prevé reversión: al terminar, los bienes o la infraestructura que el contratista construyó u operó pasan a la entidad (típico de las concesiones). No significa que el contrato se haya anulado, aunque el diccionario de CCE lo describe como «reversado». Significado deducido.</t>
  </si>
  <si>
    <t xml:space="preserve">origen_de_los_recursos</t>
  </si>
  <si>
    <t xml:space="preserve">cod_origen_recursos</t>
  </si>
  <si>
    <t xml:space="preserve">Origen de los recursos</t>
  </si>
  <si>
    <t xml:space="preserve">Categoría presupuestal de la que salen los recursos para pagar el contrato. El desglose del valor por fuente (PGN, regalías, participaciones, crédito, recursos propios) está en las columnas de recursos.</t>
  </si>
  <si>
    <t xml:space="preserve">2 valores en el corte del 23/10/2026 (consultar el catálogo del lote)</t>
  </si>
  <si>
    <t xml:space="preserve">Recursos propios (ilustrativo)</t>
  </si>
  <si>
    <t xml:space="preserve">0 vacíos · 100 % dentro del catálogo (2 valores en el corte)</t>
  </si>
  <si>
    <t xml:space="preserve">destino_gasto</t>
  </si>
  <si>
    <t xml:space="preserve">cod_destino_gasto</t>
  </si>
  <si>
    <t xml:space="preserve">Destino del gasto</t>
  </si>
  <si>
    <t xml:space="preserve">Para qué se usa el gasto: funcionamiento (costos de operar la entidad) o inversión (proyectos). Es útil para separar contratos de operación de contratos de inversión pública.</t>
  </si>
  <si>
    <t xml:space="preserve">2 valores: funcionamiento · inversión (verificar en el catálogo del lote)</t>
  </si>
  <si>
    <t xml:space="preserve">Sí (0,41 %)</t>
  </si>
  <si>
    <t xml:space="preserve">Inversión (ilustrativo)</t>
  </si>
  <si>
    <t xml:space="preserve">≤ 1 % de vacíos · 100 % dentro del catálogo (2 valores)</t>
  </si>
  <si>
    <t xml:space="preserve">Corte 23/10: 1.193 vacíos (0,41 %) · 2 valores distintos: cumple</t>
  </si>
  <si>
    <t xml:space="preserve">valor_de_pago_adelantado</t>
  </si>
  <si>
    <t xml:space="preserve">val_pago_adelantado</t>
  </si>
  <si>
    <t xml:space="preserve">Valor del pago adelantado</t>
  </si>
  <si>
    <t xml:space="preserve">Valor del anticipo pactado en el contrato, en pesos. Es 0 cuando no hay anticipo.</t>
  </si>
  <si>
    <t xml:space="preserve">≥ 0</t>
  </si>
  <si>
    <t xml:space="preserve">0 vacíos · 0 negativos · no mayor que valor_del_contrato</t>
  </si>
  <si>
    <t xml:space="preserve">Corte 23/10: 0 vacíos · 65 valores distintos · 0 negativos (mayor o igual a 0): cumple en lo medido · relación con valor_del_contrato: se mide en la Sesión 3</t>
  </si>
  <si>
    <t xml:space="preserve">valor_facturado</t>
  </si>
  <si>
    <t xml:space="preserve">val_facturado</t>
  </si>
  <si>
    <t xml:space="preserve">Valor facturado</t>
  </si>
  <si>
    <t xml:space="preserve">Suma de las facturas que el contratista ha presentado hasta la fecha de corte, en pesos. Mide cuánto ha cobrado, no cuánto se le ha pagado.</t>
  </si>
  <si>
    <t xml:space="preserve">1250000 (ilustrativo)</t>
  </si>
  <si>
    <t xml:space="preserve">0 vacíos · 0 negativos</t>
  </si>
  <si>
    <t xml:space="preserve">Corte 23/10: 0 vacíos · 71.820 valores distintos · 0 negativos (mayor o igual a 0): cumple</t>
  </si>
  <si>
    <t xml:space="preserve">valor_pendiente_de_pago</t>
  </si>
  <si>
    <t xml:space="preserve">val_pendiente_pago</t>
  </si>
  <si>
    <t xml:space="preserve">Valor pendiente de pago</t>
  </si>
  <si>
    <t xml:space="preserve">Valor que, a la fecha de corte, la entidad todavía debe pagar al contratista. La fuente no aclara si se calcula sobre lo facturado o sobre el total del contrato; no se debe sumar con lo pagado sin confirmarlo.</t>
  </si>
  <si>
    <t xml:space="preserve">Corte 23/10: 0 vacíos · 76.256 valores distintos · 169 negativos (mayor o igual a 0): NO cumple · misma cantidad que en valor_pendiente_de_ejecucion: posible causa común</t>
  </si>
  <si>
    <t xml:space="preserve">valor_pagado</t>
  </si>
  <si>
    <t xml:space="preserve">val_pagado</t>
  </si>
  <si>
    <t xml:space="preserve">Valor pagado</t>
  </si>
  <si>
    <t xml:space="preserve">Total efectivamente pagado al contratista hasta la fecha de corte, en pesos. Es lo «pagado»: no es el valor contratado ni lo facturado.</t>
  </si>
  <si>
    <t xml:space="preserve">0 vacíos · 0 negativos · no mayor que lo facturado</t>
  </si>
  <si>
    <t xml:space="preserve">Corte 23/10: 0 vacíos · 66.921 valores distintos · 0 negativos (mayor o igual a 0): cumple en lo medido · relación con valor_facturado: se mide en la Sesión 3</t>
  </si>
  <si>
    <t xml:space="preserve">valor_amortizado</t>
  </si>
  <si>
    <t xml:space="preserve">val_amortizado</t>
  </si>
  <si>
    <t xml:space="preserve">Valor amortizado</t>
  </si>
  <si>
    <t xml:space="preserve">Parte del anticipo que ya se descontó de los pagos al contratista. Solo es distinto de 0 si hubo pago adelantado.</t>
  </si>
  <si>
    <t xml:space="preserve">0 vacíos · 0 negativos · no mayor que el pago adelantado</t>
  </si>
  <si>
    <t xml:space="preserve">Corte 23/10: 0 vacíos · 11 valores distintos · 0 negativos (mayor o igual a 0): cumple</t>
  </si>
  <si>
    <t xml:space="preserve">valor_pendiente_de</t>
  </si>
  <si>
    <t xml:space="preserve">val_pendiente_amortizacion</t>
  </si>
  <si>
    <t xml:space="preserve">Valor pendiente de amortización</t>
  </si>
  <si>
    <t xml:space="preserve">Parte del anticipo que todavía no se ha descontado de los pagos. El nombre llega cortado en la API («valor_pendiente_de») y corresponde a «valor pendiente de amortización».</t>
  </si>
  <si>
    <t xml:space="preserve">0 vacíos · 0 negativos · pago adelantado = amortizado + pendiente de amortizar</t>
  </si>
  <si>
    <t xml:space="preserve">Corte 23/10: 0 vacíos · 59 valores distintos · 0 negativos (mayor o igual a 0): cumple en lo medido · la igualdad se mide en la Sesión 3</t>
  </si>
  <si>
    <t xml:space="preserve">valor_pendiente_de_ejecucion</t>
  </si>
  <si>
    <t xml:space="preserve">val_pendiente_ejecucion</t>
  </si>
  <si>
    <t xml:space="preserve">Valor pendiente de ejecución</t>
  </si>
  <si>
    <t xml:space="preserve">Parte del valor del contrato que aún no se ha ejecutado a la fecha de corte, en pesos.</t>
  </si>
  <si>
    <t xml:space="preserve">Corte 23/10: 0 vacíos · 76.517 valores distintos · 169 negativos (mayor o igual a 0): NO cumple</t>
  </si>
  <si>
    <t xml:space="preserve">estado_bpin</t>
  </si>
  <si>
    <t xml:space="preserve">cod_estado_bpin</t>
  </si>
  <si>
    <t xml:space="preserve">Estado del código BPIN</t>
  </si>
  <si>
    <t xml:space="preserve">Situación de la asignación del código BPIN (Banco de Proyectos de Inversión Nacional) al proyecto que financia el contrato. Solo aplica a contratos de inversión.</t>
  </si>
  <si>
    <t xml:space="preserve">Por documentar: la fuente no publica el catálogo de estados</t>
  </si>
  <si>
    <t xml:space="preserve">Asignado (ilustrativo)</t>
  </si>
  <si>
    <t xml:space="preserve">Vacío en contratos de funcionamiento · si hay código BPIN, hay estado BPIN</t>
  </si>
  <si>
    <t xml:space="preserve">c_digo_bpin</t>
  </si>
  <si>
    <t xml:space="preserve">cod_bpin</t>
  </si>
  <si>
    <t xml:space="preserve">Código del proyecto de inversión (BPIN)</t>
  </si>
  <si>
    <t xml:space="preserve">Código del proyecto de inversión pública que financia el contrato. Permite cruzar contratos con el Banco de Proyectos de Inversión y ver en qué proyecto se gasta. Queda vacío en contratos de funcionamiento.</t>
  </si>
  <si>
    <t xml:space="preserve">Solo dígitos (longitud por verificar en el lote)</t>
  </si>
  <si>
    <t xml:space="preserve">Dígitos</t>
  </si>
  <si>
    <t xml:space="preserve">2024051290001 (ficticio)</t>
  </si>
  <si>
    <t xml:space="preserve">Solo dígitos · si hay código, existe en el banco de proyectos (Sesión 3)</t>
  </si>
  <si>
    <t xml:space="preserve">anno_bpin</t>
  </si>
  <si>
    <t xml:space="preserve">fec_anio_bpin</t>
  </si>
  <si>
    <t xml:space="preserve">Año de asignación del BPIN</t>
  </si>
  <si>
    <t xml:space="preserve">Año en que se asignó el código BPIN al proyecto que financia el contrato.</t>
  </si>
  <si>
    <t xml:space="preserve">AAAA</t>
  </si>
  <si>
    <t xml:space="preserve">Año de 4 dígitos, no posterior al año de corte</t>
  </si>
  <si>
    <t xml:space="preserve">2024</t>
  </si>
  <si>
    <t xml:space="preserve">Año de 4 dígitos · no posterior al año de la fecha de firma</t>
  </si>
  <si>
    <t xml:space="preserve">saldo_cdp</t>
  </si>
  <si>
    <t xml:space="preserve">val_saldo_cdp</t>
  </si>
  <si>
    <t xml:space="preserve">Saldo del CDP</t>
  </si>
  <si>
    <t xml:space="preserve">Saldo del CDP (certificado de disponibilidad presupuestal: la reserva de dinero que la entidad hace antes de contratar) asociado al contrato, a la fecha de corte.</t>
  </si>
  <si>
    <t xml:space="preserve">Corte 23/10: 0 vacíos · 21.568 valores distintos · 0 negativos (mayor o igual a 0): cumple</t>
  </si>
  <si>
    <t xml:space="preserve">saldo_vigencia</t>
  </si>
  <si>
    <t xml:space="preserve">val_saldo_vigencia</t>
  </si>
  <si>
    <t xml:space="preserve">Saldo del CDP en la vigencia</t>
  </si>
  <si>
    <t xml:space="preserve">Parte del saldo del CDP que corresponde a la vigencia (año presupuestal) en curso, en pesos.</t>
  </si>
  <si>
    <t xml:space="preserve">Corte 23/10: 0 vacíos · 296 valores distintos · 0 negativos (mayor o igual a 0): cumple</t>
  </si>
  <si>
    <t xml:space="preserve">espostconflicto</t>
  </si>
  <si>
    <t xml:space="preserve">ind_posconflicto</t>
  </si>
  <si>
    <t xml:space="preserve">¿Es de posconflicto?</t>
  </si>
  <si>
    <t xml:space="preserve">Marca si el contrato está asociado a algún componente del Acuerdo de Paz.</t>
  </si>
  <si>
    <t xml:space="preserve">puntos_del_acuerdo</t>
  </si>
  <si>
    <t xml:space="preserve">cod_punto_acuerdo_paz</t>
  </si>
  <si>
    <t xml:space="preserve">Punto del Acuerdo de Paz</t>
  </si>
  <si>
    <t xml:space="preserve">Punto del Acuerdo de Paz con el que se relaciona el contrato. Solo se llena cuando el contrato es de posconflicto.</t>
  </si>
  <si>
    <t xml:space="preserve">Por documentar: catálogo no publicado por la fuente</t>
  </si>
  <si>
    <t xml:space="preserve">Reforma Rural Integral (ilustrativo)</t>
  </si>
  <si>
    <t xml:space="preserve">Lleno solo si ind_posconflicto = Si (consistencia)</t>
  </si>
  <si>
    <t xml:space="preserve">pilares_del_acuerdo</t>
  </si>
  <si>
    <t xml:space="preserve">cod_pilar_acuerdo_paz</t>
  </si>
  <si>
    <t xml:space="preserve">Pilar del Acuerdo de Paz</t>
  </si>
  <si>
    <t xml:space="preserve">Pilar del Acuerdo de Paz con el que se relaciona el contrato. Solo se llena cuando el contrato es de posconflicto.</t>
  </si>
  <si>
    <t xml:space="preserve">Pilar 1 (ilustrativo)</t>
  </si>
  <si>
    <t xml:space="preserve">nombre_representante_legal</t>
  </si>
  <si>
    <t xml:space="preserve">nom_representante_legal</t>
  </si>
  <si>
    <t xml:space="preserve">Nombre del representante legal</t>
  </si>
  <si>
    <t xml:space="preserve">Nombre de la persona que representa legalmente al firmante del contrato. Es dato personal aunque sea un servidor público. Verificar en el lote si corresponde a la entidad (como dice CCE) o al contratista.</t>
  </si>
  <si>
    <t xml:space="preserve">Sí (≈ 72,5 %, según representante_legal_id)</t>
  </si>
  <si>
    <t xml:space="preserve">Si hay nombre, hay tipo y número de documento (completitud conjunta)</t>
  </si>
  <si>
    <t xml:space="preserve">nacionalidad_representante_legal</t>
  </si>
  <si>
    <t xml:space="preserve">cod_nacionalidad_rep_legal</t>
  </si>
  <si>
    <t xml:space="preserve">Nacionalidad del representante legal</t>
  </si>
  <si>
    <t xml:space="preserve">País de nacionalidad del representante legal. Verificar en el lote si corresponde a la entidad (como dice CCE) o al contratista.</t>
  </si>
  <si>
    <t xml:space="preserve">Nombre del país</t>
  </si>
  <si>
    <t xml:space="preserve">Países</t>
  </si>
  <si>
    <t xml:space="preserve">Colombia (ilustrativo)</t>
  </si>
  <si>
    <t xml:space="preserve">100 % dentro de la lista de países cuando hay representante</t>
  </si>
  <si>
    <t xml:space="preserve">domicilio_representante_legal</t>
  </si>
  <si>
    <t xml:space="preserve">desc_domicilio_rep_legal</t>
  </si>
  <si>
    <t xml:space="preserve">Domicilio del representante legal</t>
  </si>
  <si>
    <t xml:space="preserve">Dirección donde vive o tiene su domicilio el representante legal. Es el dato más identificable de este grupo y no se necesita para vigilar contratos. Verificar en el lote si corresponde a la entidad (como dice CCE) o al contratista.</t>
  </si>
  <si>
    <t xml:space="preserve">CALLE 10 # 20-30 (ficticio)</t>
  </si>
  <si>
    <t xml:space="preserve">No debe llegar a ningún lote de análisis: 0 registros con domicilio en el lote</t>
  </si>
  <si>
    <t xml:space="preserve">tipo_de_identificaci_n_representante_legal</t>
  </si>
  <si>
    <t xml:space="preserve">cod_tipo_documento_rep_legal</t>
  </si>
  <si>
    <t xml:space="preserve">Tipo de documento del representante legal</t>
  </si>
  <si>
    <t xml:space="preserve">Tipo de documento con que se identifica el representante legal (cédula, pasaporte, etc.). Verificar en el lote si corresponde a la entidad (como dice CCE) o al contratista.</t>
  </si>
  <si>
    <t xml:space="preserve">Cédula de Ciudadanía · Cédula de Extranjería · Pasaporte · otros</t>
  </si>
  <si>
    <t xml:space="preserve">100 % dentro de la lista cuando hay representante</t>
  </si>
  <si>
    <t xml:space="preserve">identificaci_n_representante_legal</t>
  </si>
  <si>
    <t xml:space="preserve">id_documento_rep_legal</t>
  </si>
  <si>
    <t xml:space="preserve">Documento del representante legal</t>
  </si>
  <si>
    <t xml:space="preserve">Número del documento de identidad del representante legal, sin puntos. Identifica a la persona y permite cruzarla entre contratos. Verificar en el lote si corresponde a la entidad (como dice CCE) o al contratista.</t>
  </si>
  <si>
    <t xml:space="preserve">Solo dígitos</t>
  </si>
  <si>
    <t xml:space="preserve">100 % solo dígitos cuando hay representante · se cruza solo en su versión seudonimizada</t>
  </si>
  <si>
    <t xml:space="preserve">g_nero_representante_legal</t>
  </si>
  <si>
    <t xml:space="preserve">cod_genero_rep_legal</t>
  </si>
  <si>
    <t xml:space="preserve">Género del representante legal</t>
  </si>
  <si>
    <t xml:space="preserve">Género declarado del representante legal. No se necesita para detectar riesgo en contratación; si se usa, solo en agregados. Verificar en el lote si corresponde a la entidad (como dice CCE) o al contratista.</t>
  </si>
  <si>
    <t xml:space="preserve">Por documentar: la fuente no publica el catálogo</t>
  </si>
  <si>
    <t xml:space="preserve">Femenino (ilustrativo)</t>
  </si>
  <si>
    <t xml:space="preserve">100 % dentro del catálogo cuando hay representante</t>
  </si>
  <si>
    <t xml:space="preserve">presupuesto_general_de_la_nacion_pgn</t>
  </si>
  <si>
    <t xml:space="preserve">val_recursos_pgn</t>
  </si>
  <si>
    <t xml:space="preserve">Recursos del PGN</t>
  </si>
  <si>
    <t xml:space="preserve">Parte del valor del contrato que se paga con recursos del Presupuesto General de la Nación (PGN), en pesos. Las seis fuentes de recursos deberían sumar el valor del contrato (se verifica en la Sesión 3).</t>
  </si>
  <si>
    <t xml:space="preserve">0 vacíos · 0 negativos · las 6 fuentes suman el valor del contrato</t>
  </si>
  <si>
    <t xml:space="preserve">Corte 23/10: 0 vacíos · 12.152 valores distintos · 0 negativos (mayor o igual a 0): cumple</t>
  </si>
  <si>
    <t xml:space="preserve">sistema_general_de_participaciones</t>
  </si>
  <si>
    <t xml:space="preserve">val_recursos_sgp</t>
  </si>
  <si>
    <t xml:space="preserve">Recursos del SGP</t>
  </si>
  <si>
    <t xml:space="preserve">Parte del valor del contrato que se paga con recursos del Sistema General de Participaciones (transferencias de la Nación a los territorios), en pesos. Las seis fuentes de recursos deberían sumar el valor del contrato (se verifica en la Sesión 3).</t>
  </si>
  <si>
    <t xml:space="preserve">Corte 23/10: 0 vacíos · 8.900 valores distintos · 0 negativos (mayor o igual a 0): cumple</t>
  </si>
  <si>
    <t xml:space="preserve">sistema_general_de_regal_as</t>
  </si>
  <si>
    <t xml:space="preserve">val_recursos_sgr</t>
  </si>
  <si>
    <t xml:space="preserve">Recursos del SGR</t>
  </si>
  <si>
    <t xml:space="preserve">Parte del valor del contrato que se paga con recursos del Sistema General de Regalías, en pesos. Las seis fuentes de recursos deberían sumar el valor del contrato (se verifica en la Sesión 3).</t>
  </si>
  <si>
    <t xml:space="preserve">Corte 23/10: 0 vacíos · 732 valores distintos · 0 negativos (mayor o igual a 0): cumple</t>
  </si>
  <si>
    <t xml:space="preserve">recursos_propios_alcald_as_gobernaciones_y_resguardos_ind_genas_</t>
  </si>
  <si>
    <t xml:space="preserve">val_recursos_propios_territoriales</t>
  </si>
  <si>
    <t xml:space="preserve">Recursos propios de alcaldías, gobernaciones y resguardos</t>
  </si>
  <si>
    <t xml:space="preserve">Parte del valor del contrato que se paga con recursos propios de alcaldías, gobernaciones y resguardos indígenas, en pesos. Las seis fuentes de recursos deberían sumar el valor del contrato (se verifica en la Sesión 3).</t>
  </si>
  <si>
    <t xml:space="preserve">Corte 23/10: 0 vacíos · 49.995 valores distintos · 0 negativos (mayor o igual a 0): cumple</t>
  </si>
  <si>
    <t xml:space="preserve">recursos_de_credito</t>
  </si>
  <si>
    <t xml:space="preserve">val_recursos_credito</t>
  </si>
  <si>
    <t xml:space="preserve">Recursos de crédito</t>
  </si>
  <si>
    <t xml:space="preserve">Parte del valor del contrato que se paga con recursos de crédito (deuda que adquiere la entidad), en pesos. Las seis fuentes de recursos deberían sumar el valor del contrato (se verifica en la Sesión 3).</t>
  </si>
  <si>
    <t xml:space="preserve">Corte 23/10: 0 vacíos · 525 valores distintos · 0 negativos (mayor o igual a 0): cumple</t>
  </si>
  <si>
    <t xml:space="preserve">recursos_propios</t>
  </si>
  <si>
    <t xml:space="preserve">val_recursos_propios</t>
  </si>
  <si>
    <t xml:space="preserve">Recursos propios</t>
  </si>
  <si>
    <t xml:space="preserve">Parte del valor del contrato que se paga con recursos propios de la entidad, en pesos. Las seis fuentes de recursos deberían sumar el valor del contrato (se verifica en la Sesión 3).</t>
  </si>
  <si>
    <t xml:space="preserve">Corte 23/10: 0 vacíos · 33.627 valores distintos · 0 negativos (mayor o igual a 0): cumple</t>
  </si>
  <si>
    <t xml:space="preserve">ultima_actualizacion</t>
  </si>
  <si>
    <t xml:space="preserve">fec_ultima_actualizacion</t>
  </si>
  <si>
    <t xml:space="preserve">Última actualización</t>
  </si>
  <si>
    <t xml:space="preserve">Fecha en que SECOP II registra el último cambio del contrato. Falta en cerca de la mitad de los registros y la plataforma la reescribe, por lo que no sirve para saber cuándo cambió realmente un contrato.</t>
  </si>
  <si>
    <t xml:space="preserve">Fecha y hora</t>
  </si>
  <si>
    <t xml:space="preserve">AAAA-MM-DD (la API agrega «T00:00:00.000»)</t>
  </si>
  <si>
    <t xml:space="preserve">Año entre 1990 y 2100 · no posterior al corte</t>
  </si>
  <si>
    <t xml:space="preserve">Sí (44,64 %)</t>
  </si>
  <si>
    <t xml:space="preserve">2026-10-20</t>
  </si>
  <si>
    <t xml:space="preserve">Año entre 1990 y 2100 · 0 fechas posteriores al corte · los vacíos se reportan pero no bloquean</t>
  </si>
  <si>
    <t xml:space="preserve">Corte 23/10: 130.232 vacíos (44,64 %) · 961 valores distintos · 0 fuera de rango (año entre 1990 y 2100): cumple · 0 posteriores al corte · en la ficha se registró 97,8 % vacía el 19/10: reconciliar</t>
  </si>
  <si>
    <t xml:space="preserve">codigo_entidad</t>
  </si>
  <si>
    <t xml:space="preserve">id_entidad_secop</t>
  </si>
  <si>
    <t xml:space="preserve">Código de la entidad en SECOP II</t>
  </si>
  <si>
    <t xml:space="preserve">Código con que SECOP II identifica internamente a la entidad contratante. Una misma entidad (mismo NIT) puede tener varios códigos, uno por dependencia, así que no reemplaza al NIT para contar entidades.</t>
  </si>
  <si>
    <t xml:space="preserve">702345 (ilustrativo)</t>
  </si>
  <si>
    <t xml:space="preserve">0 vacíos · cada código pertenece a un solo NIT</t>
  </si>
  <si>
    <t xml:space="preserve">Corte 23/10: 0 vacíos · 562 valores distintos: cumple en lo medido · 562 códigos para 414 NIT: coherente con las dependencias; cruce código → NIT: Sesión 3</t>
  </si>
  <si>
    <t xml:space="preserve">codigo_proveedor</t>
  </si>
  <si>
    <t xml:space="preserve">id_proveedor_secop</t>
  </si>
  <si>
    <t xml:space="preserve">Código del contratista en SECOP II</t>
  </si>
  <si>
    <t xml:space="preserve">Código con que SECOP II identifica internamente la cuenta del contratista. Podría servir para agrupar contratos del mismo contratista sin usar la cédula, pero falta comprobar que sea único por documento.</t>
  </si>
  <si>
    <t xml:space="preserve">900123456 (ficticio)</t>
  </si>
  <si>
    <t xml:space="preserve">Un código ↔ un documento (relación uno a uno, se mide en la Sesión 3)</t>
  </si>
  <si>
    <t xml:space="preserve">fecha_inicio_liquidacion</t>
  </si>
  <si>
    <t xml:space="preserve">fec_inicio_liquidacion</t>
  </si>
  <si>
    <t xml:space="preserve">Fecha de inicio de la liquidación</t>
  </si>
  <si>
    <t xml:space="preserve">Fecha en que comienza el cierre de cuentas del contrato. Solo se llena si el contrato tiene prevista la liquidación.</t>
  </si>
  <si>
    <t xml:space="preserve">Año entre 1990 y 2100</t>
  </si>
  <si>
    <t xml:space="preserve">Sí (84,51 %)</t>
  </si>
  <si>
    <t xml:space="preserve">2027-01-15 (ilustrativo)</t>
  </si>
  <si>
    <t xml:space="preserve">Lleno solo si ind_liquidacion = Si · año entre 1990 y 2100</t>
  </si>
  <si>
    <t xml:space="preserve">Corte 23/10: 246.521 vacíos (84,51 %) · 1.599 valores distintos · 10 fuera de rango (año entre 1990 y 2100): NO cumple · campo condicional: los vacíos son esperables</t>
  </si>
  <si>
    <t xml:space="preserve">fecha_fin_liquidacion</t>
  </si>
  <si>
    <t xml:space="preserve">fec_fin_liquidacion</t>
  </si>
  <si>
    <t xml:space="preserve">Fecha de fin de la liquidación</t>
  </si>
  <si>
    <t xml:space="preserve">Fecha en que termina el cierre de cuentas del contrato. Solo se llena si el contrato tiene prevista la liquidación.</t>
  </si>
  <si>
    <t xml:space="preserve">Igual o posterior a la fecha de inicio de la liquidación</t>
  </si>
  <si>
    <t xml:space="preserve">2027-03-15 (ilustrativo)</t>
  </si>
  <si>
    <t xml:space="preserve">Lleno solo si ind_liquidacion = Si · igual o posterior a fec_inicio_liquidacion</t>
  </si>
  <si>
    <t xml:space="preserve">Corte 23/10: 246.525 vacíos (84,51 %) · 2.241 valores distintos · 0 fuera de rango (año entre 1990 y 2100): cumple · campo condicional: los vacíos son esperables</t>
  </si>
  <si>
    <t xml:space="preserve">objeto_del_contrato</t>
  </si>
  <si>
    <t xml:space="preserve">desc_objeto_contrato</t>
  </si>
  <si>
    <t xml:space="preserve">Objeto del contrato</t>
  </si>
  <si>
    <t xml:space="preserve">Texto con lo que el contratista se obliga a hacer o entregar según el contrato firmado. Es la descripción del contrato, distinta de la del proceso de selección. Al ser texto libre puede traer nombres de personas.</t>
  </si>
  <si>
    <t xml:space="preserve">Sí (0,13 %)</t>
  </si>
  <si>
    <t xml:space="preserve">Prestar servicios de apoyo a la gestión administrativa (ilustrativo)</t>
  </si>
  <si>
    <t xml:space="preserve">Corte 23/10: 384 vacíos (0,13 %) · 162.664 valores distintos: cumple</t>
  </si>
  <si>
    <t xml:space="preserve">duraci_n_del_contrato</t>
  </si>
  <si>
    <t xml:space="preserve">desc_duracion_contrato</t>
  </si>
  <si>
    <t xml:space="preserve">Duración pactada</t>
  </si>
  <si>
    <t xml:space="preserve">Plazo del contrato escrito como texto con número y unidad (días, meses, años). Al ser texto libre tiene muchas formas de escribirse, así que no sirve para restar fechas.</t>
  </si>
  <si>
    <t xml:space="preserve">«número unidad», p. ej. 3 Meses (verificar en el lote)</t>
  </si>
  <si>
    <t xml:space="preserve">3 Meses (ilustrativo)</t>
  </si>
  <si>
    <t xml:space="preserve">0 vacíos · 100 % cumple el patrón «número + unidad»</t>
  </si>
  <si>
    <t xml:space="preserve">Corte 23/10: 0 vacíos · 1.032 valores distintos: cumple en lo medido · el patrón se mide en la Sesión 3</t>
  </si>
  <si>
    <t xml:space="preserve">nombre_del_banco</t>
  </si>
  <si>
    <t xml:space="preserve">nom_banco_pago</t>
  </si>
  <si>
    <t xml:space="preserve">Banco de los pagos</t>
  </si>
  <si>
    <t xml:space="preserve">Nombre del banco donde se consignan los pagos del contrato. Es dato financiero del contratista y no se necesita para vigilar contratos.</t>
  </si>
  <si>
    <t xml:space="preserve">Bancolombia (ilustrativo)</t>
  </si>
  <si>
    <t xml:space="preserve">Si hay número de cuenta, hay banco y tipo de cuenta · 0 registros en el lote de análisis</t>
  </si>
  <si>
    <t xml:space="preserve">tipo_de_cuenta</t>
  </si>
  <si>
    <t xml:space="preserve">cod_tipo_cuenta_pago</t>
  </si>
  <si>
    <t xml:space="preserve">Tipo de cuenta de pago</t>
  </si>
  <si>
    <t xml:space="preserve">Clase de cuenta bancaria donde se consignan los pagos (por ejemplo, ahorros o corriente).</t>
  </si>
  <si>
    <t xml:space="preserve">Ahorros · Corriente (verificar en el lote)</t>
  </si>
  <si>
    <t xml:space="preserve">Ahorros (ilustrativo)</t>
  </si>
  <si>
    <t xml:space="preserve">Si hay número de cuenta, hay tipo de cuenta · 0 registros en el lote de análisis</t>
  </si>
  <si>
    <t xml:space="preserve">n_mero_de_cuenta</t>
  </si>
  <si>
    <t xml:space="preserve">id_cuenta_bancaria</t>
  </si>
  <si>
    <t xml:space="preserve">Número de cuenta de pago</t>
  </si>
  <si>
    <t xml:space="preserve">Número de la cuenta bancaria del contratista donde se consignan los pagos. Si el contratista es persona natural, es dato personal financiero. No debe llegar a ningún lote de análisis ni a reportes.</t>
  </si>
  <si>
    <t xml:space="preserve">0012345678 (ficticio)</t>
  </si>
  <si>
    <t xml:space="preserve">0 registros con número de cuenta en el lote de análisis</t>
  </si>
  <si>
    <t xml:space="preserve">el_contrato_puede_ser_prorrogado</t>
  </si>
  <si>
    <t xml:space="preserve">ind_prorroga_permitida</t>
  </si>
  <si>
    <t xml:space="preserve">¿Admite prórroga?</t>
  </si>
  <si>
    <t xml:space="preserve">Indica si el contrato permite ampliar su plazo. No dice si ya se prorrogó: eso lo muestra dias_adicionados.</t>
  </si>
  <si>
    <t xml:space="preserve">0 vacíos · 100 % en {Si, No} · si dias_adicionados &gt; 0, entonces Si</t>
  </si>
  <si>
    <t xml:space="preserve">Corte 23/10: 0 vacíos · 2 valores distintos: cumple en lo medido · la relación con dias_adicionados se mide en la Sesión 3</t>
  </si>
  <si>
    <t xml:space="preserve">fecha_de_notificaci_n_de_prorrogaci_n</t>
  </si>
  <si>
    <t xml:space="preserve">fec_notificacion_prorroga</t>
  </si>
  <si>
    <t xml:space="preserve">Fecha de notificación de la prórroga</t>
  </si>
  <si>
    <t xml:space="preserve">Fecha en que se notificó la prórroga del contrato. Solo se llena en contratos prorrogados.</t>
  </si>
  <si>
    <t xml:space="preserve">Sí (93,87 %)</t>
  </si>
  <si>
    <t xml:space="preserve">2026-08-10 (ilustrativo)</t>
  </si>
  <si>
    <t xml:space="preserve">Año entre 1990 y 2100 · lleno solo en contratos con prórroga</t>
  </si>
  <si>
    <t xml:space="preserve">Corte 23/10: 273.834 vacíos (93,87 %) · 1.151 valores distintos · 5 fuera de rango (año entre 1990 y 2100): NO cumple · 2.826 fechas posteriores al corte (15,8 % de las llenas): revisar</t>
  </si>
  <si>
    <t xml:space="preserve">nombre_ordenador_del_gasto</t>
  </si>
  <si>
    <t xml:space="preserve">nom_ordenador_gasto</t>
  </si>
  <si>
    <t xml:space="preserve">Nombre del ordenador del gasto</t>
  </si>
  <si>
    <t xml:space="preserve">Nombre del funcionario que ordena el gasto: quien tiene facultad de comprometer recursos y firmar contratos (por ejemplo, el alcalde o un secretario con delegación). Dato personal aunque sea un servidor público; asignación informativa en la plataforma.</t>
  </si>
  <si>
    <t xml:space="preserve">Sí (≈ 15,0 %, según ordenador_gasto_id)</t>
  </si>
  <si>
    <t xml:space="preserve">tipo_de_documento_ordenador_del_gasto</t>
  </si>
  <si>
    <t xml:space="preserve">cod_tipo_documento_ordenador_gasto</t>
  </si>
  <si>
    <t xml:space="preserve">Tipo de documento del ordenador del gasto</t>
  </si>
  <si>
    <t xml:space="preserve">Tipo de documento con que se identifica al ordenador del gasto.</t>
  </si>
  <si>
    <t xml:space="preserve">Cédula de Ciudadanía · Cédula de Extranjería · otros</t>
  </si>
  <si>
    <t xml:space="preserve">100 % dentro de la lista cuando hay ordenador</t>
  </si>
  <si>
    <t xml:space="preserve">n_mero_de_documento_ordenador_del_gasto</t>
  </si>
  <si>
    <t xml:space="preserve">id_documento_ordenador_gasto</t>
  </si>
  <si>
    <t xml:space="preserve">Documento del ordenador del gasto</t>
  </si>
  <si>
    <t xml:space="preserve">Número del documento de identidad del ordenador del gasto, sin puntos. Identifica a la persona; en ORCA se usa solo su versión seudonimizada para ver si un mismo ordenador concentra contratos.</t>
  </si>
  <si>
    <t xml:space="preserve">100 % solo dígitos cuando hay ordenador</t>
  </si>
  <si>
    <t xml:space="preserve">Sin métrica: la columna no está en el perfil de calidad del lote DS-01 (corte 23/10/2026). · derivada en el lote como ordenador_gasto_id: 1.659 ordenadores distintos y 43.750 vacíos (15,00 %)</t>
  </si>
  <si>
    <t xml:space="preserve">nombre_supervisor</t>
  </si>
  <si>
    <t xml:space="preserve">nom_supervisor</t>
  </si>
  <si>
    <t xml:space="preserve">Nombre del supervisor</t>
  </si>
  <si>
    <t xml:space="preserve">Nombre de la persona encargada de vigilar que el contrato se cumpla (de la entidad o externa). Dato personal aunque sea un servidor público; asignación informativa en la plataforma.</t>
  </si>
  <si>
    <t xml:space="preserve">Sí (≈ 17,2 %, según supervisor_id)</t>
  </si>
  <si>
    <t xml:space="preserve">tipo_de_documento_supervisor</t>
  </si>
  <si>
    <t xml:space="preserve">cod_tipo_documento_supervisor</t>
  </si>
  <si>
    <t xml:space="preserve">Tipo de documento del supervisor</t>
  </si>
  <si>
    <t xml:space="preserve">Tipo de documento con que se identifica al supervisor del contrato.</t>
  </si>
  <si>
    <t xml:space="preserve">Cédula de Ciudadanía · Cédula de Extranjería · NIT · otros</t>
  </si>
  <si>
    <t xml:space="preserve">100 % dentro de la lista cuando hay supervisor</t>
  </si>
  <si>
    <t xml:space="preserve">n_mero_de_documento_supervisor</t>
  </si>
  <si>
    <t xml:space="preserve">id_documento_supervisor</t>
  </si>
  <si>
    <t xml:space="preserve">Documento del supervisor</t>
  </si>
  <si>
    <t xml:space="preserve">Número del documento de identidad del supervisor, sin puntos. Identifica a la persona; en ORCA se usa solo su versión seudonimizada para ver si un mismo supervisor vigila demasiados contratos.</t>
  </si>
  <si>
    <t xml:space="preserve">100 % solo dígitos cuando hay supervisor</t>
  </si>
  <si>
    <t xml:space="preserve">Sin métrica: la columna no está en el perfil de calidad del lote DS-01 (corte 23/10/2026). · derivada en el lote como supervisor_id: 6.105 supervisores distintos y 50.229 vacíos (17,22 %)</t>
  </si>
  <si>
    <t xml:space="preserve">nombre_ordenador_de_pago</t>
  </si>
  <si>
    <t xml:space="preserve">nom_ordenador_pago</t>
  </si>
  <si>
    <t xml:space="preserve">Nombre del ordenador de pago</t>
  </si>
  <si>
    <t xml:space="preserve">Nombre del funcionario que autoriza los pagos del contrato. Dato personal aunque sea un servidor público; asignación informativa en la plataforma.</t>
  </si>
  <si>
    <t xml:space="preserve">Sí (≈ 45,7 %, según ordenador_pago_id)</t>
  </si>
  <si>
    <t xml:space="preserve">tipo_de_documento_ordenador_de_pago</t>
  </si>
  <si>
    <t xml:space="preserve">cod_tipo_documento_ordenador_pago</t>
  </si>
  <si>
    <t xml:space="preserve">Tipo de documento del ordenador de pago</t>
  </si>
  <si>
    <t xml:space="preserve">Tipo de documento con que se identifica al ordenador de pago.</t>
  </si>
  <si>
    <t xml:space="preserve">100 % dentro de la lista cuando hay ordenador de pago</t>
  </si>
  <si>
    <t xml:space="preserve">n_mero_de_documento_ordenador_de_pago</t>
  </si>
  <si>
    <t xml:space="preserve">id_documento_ordenador_pago</t>
  </si>
  <si>
    <t xml:space="preserve">Documento del ordenador de pago</t>
  </si>
  <si>
    <t xml:space="preserve">Número del documento de identidad del ordenador de pago, sin puntos. Identifica a la persona; en ORCA se usa solo su versión seudonimizada.</t>
  </si>
  <si>
    <t xml:space="preserve">100 % solo dígitos cuando hay ordenador de pago</t>
  </si>
  <si>
    <t xml:space="preserve">Sin métrica: la columna no está en el perfil de calidad del lote DS-01 (corte 23/10/2026). · derivada en el lote como ordenador_pago_id: 2.278 ordenadores distintos y 133.322 vacíos (45,70 %)</t>
  </si>
  <si>
    <t xml:space="preserve">documentos_tipo</t>
  </si>
  <si>
    <t xml:space="preserve">ind_documentos_tipo</t>
  </si>
  <si>
    <t xml:space="preserve">¿Usó documentos tipo?</t>
  </si>
  <si>
    <t xml:space="preserve">Parece indicar si el proceso usó los Documentos Tipo de Colombia Compra Eficiente (pliegos y minutas estándar que las entidades sujetas al Estatuto General de Contratación deben emplear). Columna no documentada por CCE: significado deducido del nombre y de sus 2 valores.</t>
  </si>
  <si>
    <t xml:space="preserve">Valores del lote (por confirmar)</t>
  </si>
  <si>
    <t xml:space="preserve">2 valores en el corte del 23/10/2026</t>
  </si>
  <si>
    <t xml:space="preserve">Si (ilustrativo)</t>
  </si>
  <si>
    <t xml:space="preserve">≤ 0,1 % de vacíos · 100 % dentro del catálogo (2 valores)</t>
  </si>
  <si>
    <t xml:space="preserve">Corte 23/10: 4 vacíos (&lt; 0,01 %) · 2 valores distintos: cumple</t>
  </si>
  <si>
    <t xml:space="preserve">criterios_de_sostenibilidad_ambiental</t>
  </si>
  <si>
    <t xml:space="preserve">ind_criterios_sostenibilidad_ambiental</t>
  </si>
  <si>
    <t xml:space="preserve">¿Incluyó criterios de sostenibilidad ambiental?</t>
  </si>
  <si>
    <t xml:space="preserve">Parece indicar si el proceso incorporó criterios de sostenibilidad ambiental (compras públicas sostenibles). Solo se diligencia en una pequeña parte de los contratos. Columna no documentada por CCE: significado deducido del nombre y de sus 2 valores.</t>
  </si>
  <si>
    <t xml:space="preserve">Sí (98,38 %)</t>
  </si>
  <si>
    <t xml:space="preserve">100 % de los valores presentes dentro del catálogo (2 valores) · los vacíos se reportan pero no bloquean (campo opcional)</t>
  </si>
  <si>
    <t xml:space="preserve">Corte 23/10: 286.995 vacíos (98,38 %) · 2 valores distintos: cumple</t>
  </si>
  <si>
    <t xml:space="preserve">obligaciones_posconsumo</t>
  </si>
  <si>
    <t xml:space="preserve">ind_obligacion_posconsumo</t>
  </si>
  <si>
    <t xml:space="preserve">¿Tiene obligaciones posconsumo? (campo 2)</t>
  </si>
  <si>
    <t xml:space="preserve">Segundo campo sobre obligaciones posconsumo, escrito con otra ortografía que obligaciones_postconsumo; podría ser su reemplazo o un duplicado. Falta confirmar con CCE cuál es el vigente. Columna no documentada por CCE: significado deducido del nombre y de sus 2 valores.</t>
  </si>
  <si>
    <t xml:space="preserve">No (ilustrativo)</t>
  </si>
  <si>
    <t xml:space="preserve">≤ 0,1 % de vacíos · coincide con obligaciones_postconsumo en el 100 % de los registros</t>
  </si>
  <si>
    <t xml:space="preserve">Corte 23/10: 9 vacíos (&lt; 0,01 %) · 2 valores distintos: cumple en lo medido · coincidencia con obligaciones_postconsumo: se mide en la Sesión 3</t>
  </si>
  <si>
    <t xml:space="preserve">Columnas documentadas:</t>
  </si>
  <si>
    <t xml:space="preserve">Celdas llenas del diccionario:</t>
  </si>
  <si>
    <t xml:space="preserve">Debe llegar a 100 % en las columnas que documentaron.</t>
  </si>
  <si>
    <t xml:space="preserve">Cobertura frente a la fuente (95 columnas en datos.gov.co): 90 documentadas = 87 del diccionario oficial de Colombia Compra Eficiente (versión 1.0, agosto 2025) + 3 que ORCA observó en el lote y ese diccionario no trae (# 88 a 90). Faltan 5 columnas por identificar comparando la lista de columnas del lote crudo con la columna B. Los ejemplos marcados «(ilustrativo)» o «(ficticio)» no provienen de un registro real. «Resultado medido» de las columnas # 1 a 20 es del corte 19/10/2026 (lote anterior) y el de las # 21 a 90, del corte 23/10/2026 (291.719 registros, perfil_ds01): no se mezclan sin tener en cuenta que el lote cambió.</t>
  </si>
  <si>
    <t xml:space="preserve">3 · Glosario de negocio</t>
  </si>
  <si>
    <t xml:space="preserve">Términos que la organización usa y que pueden entenderse de varias formas. Sin nombres de columnas en la definición: aquí se habla en lenguaje de negocio.</t>
  </si>
  <si>
    <t xml:space="preserve">Término</t>
  </si>
  <si>
    <t xml:space="preserve">Definición de negocio</t>
  </si>
  <si>
    <t xml:space="preserve">Otros nombres / cómo le dicen</t>
  </si>
  <si>
    <t xml:space="preserve">Columna(s) relacionada(s)</t>
  </si>
  <si>
    <t xml:space="preserve">Quién lo aprueba (Owner)</t>
  </si>
  <si>
    <t xml:space="preserve">Por qué se presta a confusión</t>
  </si>
  <si>
    <t xml:space="preserve">Estudiante activo</t>
  </si>
  <si>
    <t xml:space="preserve">Persona matriculada en el periodo vigente con al menos una asignatura inscrita y sin retiro formal.</t>
  </si>
  <si>
    <t xml:space="preserve">Matriculado, vigente</t>
  </si>
  <si>
    <t xml:space="preserve">est = A</t>
  </si>
  <si>
    <t xml:space="preserve">Columna agregada por el equipo</t>
  </si>
  <si>
    <t xml:space="preserve">Contrato</t>
  </si>
  <si>
    <t xml:space="preserve">Acuerdo firmado entre una entidad pública y un contratista, con un objeto, un valor y un plazo. No es lo mismo que el proceso de contratación: una convocatoria puede terminar en varios contratos o en ninguno. Cuando ORCA cuenta contratos, cuenta acuerdos firmados.</t>
  </si>
  <si>
    <t xml:space="preserve">Contrato electrónico, acuerdo</t>
  </si>
  <si>
    <t xml:space="preserve">Luis Ángel Seoanes Ovieso (Data Owner)</t>
  </si>
  <si>
    <t xml:space="preserve">Los auditores hablan de «procesos» y SECOP publica procesos y contratos en conjuntos de datos distintos: contar uno por otro cambia las cifras.</t>
  </si>
  <si>
    <t xml:space="preserve">Contratación en la que la entidad escoge al contratista sin convocatoria pública abierta, apoyada en una causal que la ley permite (servicios profesionales, convenios entre entidades, urgencia manifiesta…). Para ORCA incluye la modalidad directa y el régimen especial sin ofertas; cuando se recibieron ofertas se cuenta aparte.</t>
  </si>
  <si>
    <t xml:space="preserve">Adjudicación directa; «a dedo» (coloquial)</t>
  </si>
  <si>
    <t xml:space="preserve">modalidad_de_contratacion, justificacion_modalidad_de</t>
  </si>
  <si>
    <t xml:space="preserve">Jurídica la entiende como modalidad legal; analítica, como «sin competencia». Según qué variantes se incluyan, el porcentaje en Antioquia va de 82,5 % (solo la modalidad directa) a 92,7 % (sumando régimen especial y variantes con ofertas).</t>
  </si>
  <si>
    <t xml:space="preserve">Persona jurídica pública que firma el contrato y responde por él, identificada por su NIT. Las dependencias que comparten NIT (alcaldía, concejo y personería de un mismo municipio) son una sola entidad para contar; cada dependencia se reporta como unidad dentro de ella.</t>
  </si>
  <si>
    <t xml:space="preserve">Entidad estatal, comprador público</t>
  </si>
  <si>
    <t xml:space="preserve">nit_entidad, nombre_entidad</t>
  </si>
  <si>
    <t xml:space="preserve">SECOP la identifica por el nombre que digitó cada dependencia: en el alcance hay 567 nombres pero 446 NIT.</t>
  </si>
  <si>
    <t xml:space="preserve">Sujeto de vigilancia</t>
  </si>
  <si>
    <t xml:space="preserve">Entidad cuyo manejo de recursos públicos le corresponde vigilar a la contraloría territorial del caso: entidades del orden territorial de Antioquia que no tienen contraloría propia. No basta con tener sede en Antioquia: las entidades nacionales con sede en Medellín las vigila la Contraloría General.</t>
  </si>
  <si>
    <t xml:space="preserve">Sujeto de control, entidad vigilada</t>
  </si>
  <si>
    <t xml:space="preserve">orden, ciudad (y la lista oficial de sujetos de control, pendiente)</t>
  </si>
  <si>
    <t xml:space="preserve">Para el área de sistemas es «toda entidad de Antioquia» (ubicación); para la de vigilancia, las que le asigna la ley (competencia).</t>
  </si>
  <si>
    <t xml:space="preserve">Contratista persona natural</t>
  </si>
  <si>
    <t xml:space="preserve">Contratista que es un individuo y no una empresa, identificado con un documento personal (cédula, pasaporte, permiso de permanencia). Sus datos de identificación son datos personales: en ORCA solo se analizan y se muestran seudonimizados.</t>
  </si>
  <si>
    <t xml:space="preserve">Proveedor persona natural, contratista individual</t>
  </si>
  <si>
    <t xml:space="preserve">tipodocproveedor, documento_proveedor, proveedor_adjudicado</t>
  </si>
  <si>
    <t xml:space="preserve">Transparencia dice que el dato es público porque está en SECOP; protección de datos dice que reutilizarlo es un tratamiento nuevo con reglas propias.</t>
  </si>
  <si>
    <t xml:space="preserve">Alerta temprana</t>
  </si>
  <si>
    <t xml:space="preserve">Señal que genera ORCA cuando un contrato o una entidad muestra un patrón de riesgo y merece revisión prioritaria. No es un hallazgo, no prueba ninguna irregularidad y no es la «advertencia» del control fiscal, que la ley reserva al Contralor General.</t>
  </si>
  <si>
    <t xml:space="preserve">Bandera roja, señal de riesgo</t>
  </si>
  <si>
    <t xml:space="preserve">No es columna de la fuente: la produce el score de riesgo de ORCA</t>
  </si>
  <si>
    <t xml:space="preserve">Para un auditor «alerta» puede sonar a hallazgo o a advertencia formal; para el equipo de datos es solo una prioridad de revisión.</t>
  </si>
  <si>
    <t xml:space="preserve">Valor contratado</t>
  </si>
  <si>
    <t xml:space="preserve">Suma de los valores de los contratos firmados en un periodo, en pesos corrientes. No es lo ejecutado ni lo pagado: un contrato firmado puede no haberse pagado nunca.</t>
  </si>
  <si>
    <t xml:space="preserve">Monto contratado, valor comprometido</t>
  </si>
  <si>
    <t xml:space="preserve">valor_del_contrato, fecha_de_firma</t>
  </si>
  <si>
    <t xml:space="preserve">Presupuesto y finanzas hablan de lo pagado u obligado; un tablero de contratación muestra lo comprometido.</t>
  </si>
  <si>
    <t xml:space="preserve">4 · Autoevaluación</t>
  </si>
  <si>
    <t xml:space="preserve">Respondan con honestidad: Sí (2 puntos), Parcial (1), No (0). El puntaje se calcula solo.</t>
  </si>
  <si>
    <t xml:space="preserve">Afirmación</t>
  </si>
  <si>
    <t xml:space="preserve">Respuesta</t>
  </si>
  <si>
    <t xml:space="preserve">Puntos</t>
  </si>
  <si>
    <t xml:space="preserve">Si es Parcial o No: ¿qué falta?</t>
  </si>
  <si>
    <t xml:space="preserve">La ficha de catálogo tiene todos los campos llenos (o «Desconocido» con el motivo).</t>
  </si>
  <si>
    <t xml:space="preserve">Documentamos al menos 8 columnas del dataset.</t>
  </si>
  <si>
    <t xml:space="preserve">90 de las 95 columnas de la fuente documentadas (87 del diccionario oficial de CCE + 3 observadas en el lote); faltan 5 por identificar.</t>
  </si>
  <si>
    <t xml:space="preserve">Ninguna descripción repite el nombre de la columna.</t>
  </si>
  <si>
    <t xml:space="preserve">Cada columna tiene tipo de dato y formato o unidad.</t>
  </si>
  <si>
    <t xml:space="preserve">Las columnas con códigos (A, R, G…) tienen cada valor explicado.</t>
  </si>
  <si>
    <t xml:space="preserve">Parcial</t>
  </si>
  <si>
    <t xml:space="preserve">El significado de algunos estados del contrato (Aprobado, Modificado) y de causales que llegan como códigos en inglés es deducido de la plataforma, no confirmado por la fuente. Lo mismo ocurre con liquidaci_n y reversion (el diccionario de CCE los describe distinto a como la plataforma los usa) y con documentos_tipo, criterios_de_sostenibilidad_ambiental y obligaciones_posconsumo, que CCE no documenta.</t>
  </si>
  <si>
    <t xml:space="preserve">Propusimos nombres estándar (prefijos y minúsculas_con_guion_bajo).</t>
  </si>
  <si>
    <t xml:space="preserve">Se propone además el prefijo url_ para enlaces y desc_ para textos libres (descripciones, objeto, ubicación, duración).</t>
  </si>
  <si>
    <t xml:space="preserve">Marcamos las columnas con datos personales o sensibles.</t>
  </si>
  <si>
    <t xml:space="preserve">documento_proveedor y proveedor_adjudicado (Dato personal); tipodocproveedor decide cuándo. En las 70 columnas nuevas también son dato personal: nombre, documento, domicilio y género del representante legal; nombre y documento del supervisor y de los ordenadores del gasto y de pago; y el número de cuenta bancaria.</t>
  </si>
  <si>
    <t xml:space="preserve">Cada columna tiene al menos una regla de calidad que se puede medir.</t>
  </si>
  <si>
    <t xml:space="preserve">Las 90 columnas tienen regla medible. Tienen resultado medido: 20 columnas (19/10/2026) y 41 más (23/10/2026, columna O). Las demás quedan «sin métrica» porque no están en el perfil del lote.</t>
  </si>
  <si>
    <t xml:space="preserve">El glosario tiene 5 términos con definición en lenguaje de negocio.</t>
  </si>
  <si>
    <t xml:space="preserve">7 términos.</t>
  </si>
  <si>
    <t xml:space="preserve">Prueba del recién llegado: otra persona podría usar el dataset solo con esta documentación.</t>
  </si>
  <si>
    <t xml:space="preserve">Total (máximo 20)</t>
  </si>
  <si>
    <t xml:space="preserve">Lectura</t>
  </si>
  <si>
    <t xml:space="preserve">Para la plenaria: ¿cuál fue la columna más difícil de documentar y por qué?</t>
  </si>
  <si>
    <t xml:space="preserve">estado_contrato. Mezcla etapas del ciclo de vida (Aprobado → En ejecución → terminado → Cerrado) con eventos (Modificado, cedido, Suspendido), así que un contrato «Modificado» no dice si sigue en ejecución. Además el valor cambia con el tiempo y la fuente no publica una tabla oficial de significados: los documentamos deduciéndolos de la plataforma.</t>
  </si>
  <si>
    <t xml:space="preserve">Dudas para la docente (máximo 3) · se responden en la segunda hora</t>
  </si>
  <si>
    <t xml:space="preserve">valor_del_contrato: cuando un contrato tiene adiciones, ¿SECOP publica el valor inicial o el actualizado? ¿Cómo lo documentamos si la fuente no lo dice?</t>
  </si>
  <si>
    <t xml:space="preserve">La fuente cambia hacia atrás (302.507 contratos el 27/09 y 291.406 el 19/10 con el mismo filtro). Para la Sesión 3, ¿medimos la calidad sobre un lote congelado con su fecha de corte o sobre la API en vivo?</t>
  </si>
  <si>
    <t xml:space="preserve">El nombre y la cédula del contratista son públicos en SECOP por transparencia (Ley 1712). ¿Igual los marcamos como «dato personal» en el diccionario? Nosotros lo hicimos, por la Ley 1581.</t>
  </si>
</sst>
</file>

<file path=xl/styles.xml><?xml version="1.0" encoding="utf-8"?>
<styleSheet xmlns="http://schemas.openxmlformats.org/spreadsheetml/2006/main">
  <numFmts count="2">
    <numFmt numFmtId="164" formatCode="General"/>
    <numFmt numFmtId="165" formatCode="General"/>
  </numFmts>
  <fonts count="16">
    <font>
      <sz val="11"/>
      <color theme="1"/>
      <name val="Calibri"/>
      <family val="2"/>
      <charset val="1"/>
    </font>
    <font>
      <sz val="10"/>
      <name val="Arial"/>
      <family val="0"/>
    </font>
    <font>
      <sz val="10"/>
      <name val="Arial"/>
      <family val="0"/>
    </font>
    <font>
      <sz val="10"/>
      <name val="Arial"/>
      <family val="0"/>
    </font>
    <font>
      <b val="true"/>
      <sz val="16"/>
      <color rgb="FFC0006A"/>
      <name val="Arial"/>
      <family val="0"/>
      <charset val="1"/>
    </font>
    <font>
      <i val="true"/>
      <sz val="10"/>
      <color rgb="FF555555"/>
      <name val="Arial"/>
      <family val="0"/>
      <charset val="1"/>
    </font>
    <font>
      <b val="true"/>
      <sz val="10"/>
      <color rgb="FF241033"/>
      <name val="Arial"/>
      <family val="0"/>
      <charset val="1"/>
    </font>
    <font>
      <sz val="10"/>
      <color rgb="FF333333"/>
      <name val="Arial"/>
      <family val="0"/>
      <charset val="1"/>
    </font>
    <font>
      <b val="true"/>
      <sz val="12"/>
      <color rgb="FF241033"/>
      <name val="Arial"/>
      <family val="0"/>
      <charset val="1"/>
    </font>
    <font>
      <b val="true"/>
      <sz val="10"/>
      <color rgb="FF333333"/>
      <name val="Arial"/>
      <family val="0"/>
      <charset val="1"/>
    </font>
    <font>
      <i val="true"/>
      <sz val="10"/>
      <color rgb="FF333333"/>
      <name val="Arial"/>
      <family val="0"/>
      <charset val="1"/>
    </font>
    <font>
      <b val="true"/>
      <sz val="10"/>
      <color rgb="FFC0006A"/>
      <name val="Arial"/>
      <family val="0"/>
      <charset val="1"/>
    </font>
    <font>
      <b val="true"/>
      <sz val="10"/>
      <color rgb="FFFFFFFF"/>
      <name val="Arial"/>
      <family val="0"/>
      <charset val="1"/>
    </font>
    <font>
      <sz val="10"/>
      <color rgb="FF555555"/>
      <name val="Arial"/>
      <family val="0"/>
      <charset val="1"/>
    </font>
    <font>
      <b val="true"/>
      <sz val="11"/>
      <color rgb="FFB5005B"/>
      <name val="Cambria"/>
      <family val="0"/>
      <charset val="1"/>
    </font>
    <font>
      <i val="true"/>
      <sz val="9"/>
      <color rgb="FF555555"/>
      <name val="Arial"/>
      <family val="0"/>
      <charset val="1"/>
    </font>
  </fonts>
  <fills count="7">
    <fill>
      <patternFill patternType="none"/>
    </fill>
    <fill>
      <patternFill patternType="gray125"/>
    </fill>
    <fill>
      <patternFill patternType="solid">
        <fgColor rgb="FFF6F1FA"/>
        <bgColor rgb="FFEFEFEF"/>
      </patternFill>
    </fill>
    <fill>
      <patternFill patternType="solid">
        <fgColor rgb="FFFFF8E1"/>
        <bgColor rgb="FFF6F1FA"/>
      </patternFill>
    </fill>
    <fill>
      <patternFill patternType="solid">
        <fgColor rgb="FFEFEFEF"/>
        <bgColor rgb="FFF6F1FA"/>
      </patternFill>
    </fill>
    <fill>
      <patternFill patternType="solid">
        <fgColor rgb="FFC0006A"/>
        <bgColor rgb="FFB5005B"/>
      </patternFill>
    </fill>
    <fill>
      <patternFill patternType="solid">
        <fgColor rgb="FFF8D7DA"/>
        <bgColor rgb="FFD9CFE3"/>
      </patternFill>
    </fill>
  </fills>
  <borders count="2">
    <border diagonalUp="false" diagonalDown="false">
      <left/>
      <right/>
      <top/>
      <bottom/>
      <diagonal/>
    </border>
    <border diagonalUp="false" diagonalDown="false">
      <left style="thin">
        <color rgb="FFD9CFE3"/>
      </left>
      <right style="thin">
        <color rgb="FFD9CFE3"/>
      </right>
      <top style="thin">
        <color rgb="FFD9CFE3"/>
      </top>
      <bottom style="thin">
        <color rgb="FFD9CFE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11" fillId="2" borderId="1" xfId="0" applyFont="true" applyBorder="true" applyAlignment="true" applyProtection="false">
      <alignment horizontal="general" vertical="top" textRotation="0" wrapText="tru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14" fillId="3"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5" fontId="11" fillId="2"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B5005B"/>
      <rgbColor rgb="FF008080"/>
      <rgbColor rgb="FFC0C0C0"/>
      <rgbColor rgb="FF808080"/>
      <rgbColor rgb="FF9999FF"/>
      <rgbColor rgb="FF993366"/>
      <rgbColor rgb="FFFFF8E1"/>
      <rgbColor rgb="FFEFEFEF"/>
      <rgbColor rgb="FF660066"/>
      <rgbColor rgb="FFFF8080"/>
      <rgbColor rgb="FF0066CC"/>
      <rgbColor rgb="FFD9CFE3"/>
      <rgbColor rgb="FF000080"/>
      <rgbColor rgb="FFFF00FF"/>
      <rgbColor rgb="FFFFFF00"/>
      <rgbColor rgb="FF00FFFF"/>
      <rgbColor rgb="FFC0006A"/>
      <rgbColor rgb="FF800000"/>
      <rgbColor rgb="FF008080"/>
      <rgbColor rgb="FF0000FF"/>
      <rgbColor rgb="FF00CCFF"/>
      <rgbColor rgb="FFF6F1FA"/>
      <rgbColor rgb="FFCCFFCC"/>
      <rgbColor rgb="FFFFFF99"/>
      <rgbColor rgb="FF99CCFF"/>
      <rgbColor rgb="FFFF99CC"/>
      <rgbColor rgb="FFCC99FF"/>
      <rgbColor rgb="FFF8D7DA"/>
      <rgbColor rgb="FF3366FF"/>
      <rgbColor rgb="FF33CCCC"/>
      <rgbColor rgb="FF99CC00"/>
      <rgbColor rgb="FFFFCC00"/>
      <rgbColor rgb="FFFF9900"/>
      <rgbColor rgb="FFFF6600"/>
      <rgbColor rgb="FF555555"/>
      <rgbColor rgb="FF969696"/>
      <rgbColor rgb="FF003366"/>
      <rgbColor rgb="FF339966"/>
      <rgbColor rgb="FF003300"/>
      <rgbColor rgb="FF241033"/>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datos.gov.co/d/jbjy-vk9h"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6A"/>
    <pageSetUpPr fitToPage="true"/>
  </sheetPr>
  <dimension ref="A1:B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26"/>
    <col collapsed="false" customWidth="true" hidden="false" outlineLevel="0" max="2" min="2" style="0" width="90"/>
  </cols>
  <sheetData>
    <row r="1" customFormat="false" ht="19.5" hidden="false" customHeight="true" outlineLevel="0" collapsed="false">
      <c r="A1" s="1" t="s">
        <v>0</v>
      </c>
    </row>
    <row r="2" customFormat="false" ht="30" hidden="false" customHeight="true" outlineLevel="0" collapsed="false">
      <c r="A2" s="2" t="s">
        <v>1</v>
      </c>
      <c r="B2" s="2"/>
    </row>
    <row r="4" customFormat="false" ht="15" hidden="false" customHeight="false" outlineLevel="0" collapsed="false">
      <c r="A4" s="3" t="s">
        <v>2</v>
      </c>
      <c r="B4" s="4" t="s">
        <v>3</v>
      </c>
    </row>
    <row r="5" customFormat="false" ht="23.85" hidden="false" customHeight="false" outlineLevel="0" collapsed="false">
      <c r="A5" s="3" t="s">
        <v>4</v>
      </c>
      <c r="B5" s="4" t="s">
        <v>5</v>
      </c>
    </row>
    <row r="6" customFormat="false" ht="23.85" hidden="false" customHeight="false" outlineLevel="0" collapsed="false">
      <c r="A6" s="3" t="s">
        <v>6</v>
      </c>
      <c r="B6" s="4" t="s">
        <v>7</v>
      </c>
    </row>
    <row r="7" customFormat="false" ht="23.85" hidden="false" customHeight="false" outlineLevel="0" collapsed="false">
      <c r="A7" s="3" t="s">
        <v>8</v>
      </c>
      <c r="B7" s="4" t="s">
        <v>9</v>
      </c>
    </row>
    <row r="9" customFormat="false" ht="15" hidden="false" customHeight="false" outlineLevel="0" collapsed="false">
      <c r="A9" s="5" t="s">
        <v>10</v>
      </c>
    </row>
    <row r="10" customFormat="false" ht="30" hidden="false" customHeight="true" outlineLevel="0" collapsed="false">
      <c r="A10" s="3" t="s">
        <v>11</v>
      </c>
      <c r="B10" s="6" t="s">
        <v>12</v>
      </c>
    </row>
    <row r="11" customFormat="false" ht="30" hidden="false" customHeight="true" outlineLevel="0" collapsed="false">
      <c r="A11" s="3" t="s">
        <v>13</v>
      </c>
      <c r="B11" s="6" t="s">
        <v>14</v>
      </c>
    </row>
    <row r="12" customFormat="false" ht="30" hidden="false" customHeight="true" outlineLevel="0" collapsed="false">
      <c r="A12" s="3" t="s">
        <v>15</v>
      </c>
      <c r="B12" s="6" t="s">
        <v>16</v>
      </c>
    </row>
    <row r="13" customFormat="false" ht="30" hidden="false" customHeight="true" outlineLevel="0" collapsed="false">
      <c r="A13" s="3" t="s">
        <v>17</v>
      </c>
      <c r="B13" s="6" t="s">
        <v>18</v>
      </c>
    </row>
    <row r="14" customFormat="false" ht="30" hidden="false" customHeight="true" outlineLevel="0" collapsed="false">
      <c r="A14" s="3" t="s">
        <v>19</v>
      </c>
      <c r="B14" s="6" t="s">
        <v>20</v>
      </c>
    </row>
    <row r="16" customFormat="false" ht="15" hidden="false" customHeight="false" outlineLevel="0" collapsed="false">
      <c r="A16" s="5" t="s">
        <v>21</v>
      </c>
    </row>
    <row r="17" customFormat="false" ht="15" hidden="false" customHeight="false" outlineLevel="0" collapsed="false">
      <c r="A17" s="7" t="s">
        <v>22</v>
      </c>
      <c r="B17" s="6" t="s">
        <v>23</v>
      </c>
    </row>
    <row r="18" customFormat="false" ht="15" hidden="false" customHeight="false" outlineLevel="0" collapsed="false">
      <c r="A18" s="8" t="s">
        <v>24</v>
      </c>
      <c r="B18" s="6" t="s">
        <v>25</v>
      </c>
    </row>
    <row r="19" customFormat="false" ht="30" hidden="false" customHeight="true" outlineLevel="0" collapsed="false">
      <c r="A19" s="9" t="s">
        <v>26</v>
      </c>
      <c r="B19" s="6" t="s">
        <v>27</v>
      </c>
    </row>
  </sheetData>
  <mergeCells count="1">
    <mergeCell ref="A2:B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6A"/>
    <pageSetUpPr fitToPage="true"/>
  </sheetPr>
  <dimension ref="A1:E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484375" defaultRowHeight="15" zeroHeight="false" outlineLevelRow="0" outlineLevelCol="0"/>
  <cols>
    <col collapsed="false" customWidth="true" hidden="false" outlineLevel="0" max="1" min="1" style="0" width="30"/>
    <col collapsed="false" customWidth="true" hidden="false" outlineLevel="0" max="2" min="2" style="0" width="44"/>
    <col collapsed="false" customWidth="true" hidden="false" outlineLevel="0" max="4" min="3" style="0" width="46"/>
    <col collapsed="false" customWidth="true" hidden="false" outlineLevel="0" max="5" min="5" style="0" width="55"/>
  </cols>
  <sheetData>
    <row r="1" customFormat="false" ht="19.5" hidden="false" customHeight="true" outlineLevel="0" collapsed="false">
      <c r="A1" s="1" t="s">
        <v>28</v>
      </c>
    </row>
    <row r="2" customFormat="false" ht="30" hidden="false" customHeight="true" outlineLevel="0" collapsed="false">
      <c r="A2" s="2" t="s">
        <v>29</v>
      </c>
      <c r="B2" s="2"/>
      <c r="C2" s="2"/>
      <c r="D2" s="2"/>
    </row>
    <row r="4" customFormat="false" ht="31.5" hidden="false" customHeight="true" outlineLevel="0" collapsed="false">
      <c r="A4" s="10" t="s">
        <v>30</v>
      </c>
      <c r="B4" s="10" t="s">
        <v>31</v>
      </c>
      <c r="C4" s="10" t="s">
        <v>32</v>
      </c>
      <c r="D4" s="10" t="s">
        <v>33</v>
      </c>
      <c r="E4" s="10" t="s">
        <v>34</v>
      </c>
    </row>
    <row r="5" customFormat="false" ht="30" hidden="false" customHeight="true" outlineLevel="0" collapsed="false">
      <c r="A5" s="3" t="s">
        <v>35</v>
      </c>
      <c r="B5" s="11" t="s">
        <v>36</v>
      </c>
      <c r="C5" s="12" t="s">
        <v>37</v>
      </c>
      <c r="D5" s="4" t="s">
        <v>38</v>
      </c>
      <c r="E5" s="12"/>
    </row>
    <row r="6" customFormat="false" ht="84.75" hidden="false" customHeight="true" outlineLevel="0" collapsed="false">
      <c r="A6" s="3" t="s">
        <v>39</v>
      </c>
      <c r="B6" s="11" t="s">
        <v>40</v>
      </c>
      <c r="C6" s="12" t="s">
        <v>41</v>
      </c>
      <c r="D6" s="4" t="s">
        <v>42</v>
      </c>
      <c r="E6" s="12"/>
    </row>
    <row r="7" customFormat="false" ht="57.75" hidden="false" customHeight="true" outlineLevel="0" collapsed="false">
      <c r="A7" s="3" t="s">
        <v>43</v>
      </c>
      <c r="B7" s="11" t="s">
        <v>44</v>
      </c>
      <c r="C7" s="12" t="s">
        <v>45</v>
      </c>
      <c r="D7" s="4" t="s">
        <v>46</v>
      </c>
      <c r="E7" s="12"/>
    </row>
    <row r="8" customFormat="false" ht="30.75" hidden="false" customHeight="true" outlineLevel="0" collapsed="false">
      <c r="A8" s="3" t="s">
        <v>47</v>
      </c>
      <c r="B8" s="11" t="s">
        <v>48</v>
      </c>
      <c r="C8" s="12" t="s">
        <v>49</v>
      </c>
      <c r="D8" s="4" t="s">
        <v>50</v>
      </c>
      <c r="E8" s="12"/>
    </row>
    <row r="9" customFormat="false" ht="30" hidden="false" customHeight="true" outlineLevel="0" collapsed="false">
      <c r="A9" s="3" t="s">
        <v>51</v>
      </c>
      <c r="B9" s="11" t="s">
        <v>52</v>
      </c>
      <c r="C9" s="12" t="s">
        <v>53</v>
      </c>
      <c r="D9" s="4" t="s">
        <v>54</v>
      </c>
      <c r="E9" s="12"/>
    </row>
    <row r="10" customFormat="false" ht="44.25" hidden="false" customHeight="true" outlineLevel="0" collapsed="false">
      <c r="A10" s="3" t="s">
        <v>55</v>
      </c>
      <c r="B10" s="11" t="s">
        <v>56</v>
      </c>
      <c r="C10" s="12" t="s">
        <v>57</v>
      </c>
      <c r="D10" s="4" t="s">
        <v>58</v>
      </c>
      <c r="E10" s="12"/>
    </row>
    <row r="11" customFormat="false" ht="44.25" hidden="false" customHeight="true" outlineLevel="0" collapsed="false">
      <c r="A11" s="3" t="s">
        <v>59</v>
      </c>
      <c r="B11" s="11" t="s">
        <v>60</v>
      </c>
      <c r="C11" s="12" t="s">
        <v>61</v>
      </c>
      <c r="D11" s="4" t="s">
        <v>62</v>
      </c>
      <c r="E11" s="12"/>
    </row>
    <row r="12" customFormat="false" ht="57.75" hidden="false" customHeight="true" outlineLevel="0" collapsed="false">
      <c r="A12" s="3" t="s">
        <v>63</v>
      </c>
      <c r="B12" s="11" t="s">
        <v>64</v>
      </c>
      <c r="C12" s="12" t="s">
        <v>65</v>
      </c>
      <c r="D12" s="4" t="s">
        <v>66</v>
      </c>
      <c r="E12" s="12"/>
    </row>
    <row r="13" customFormat="false" ht="30.75" hidden="false" customHeight="true" outlineLevel="0" collapsed="false">
      <c r="A13" s="3" t="s">
        <v>67</v>
      </c>
      <c r="B13" s="11" t="s">
        <v>68</v>
      </c>
      <c r="C13" s="12" t="s">
        <v>69</v>
      </c>
      <c r="D13" s="4" t="s">
        <v>70</v>
      </c>
      <c r="E13" s="12"/>
    </row>
    <row r="14" customFormat="false" ht="30.75" hidden="false" customHeight="true" outlineLevel="0" collapsed="false">
      <c r="A14" s="3" t="s">
        <v>71</v>
      </c>
      <c r="B14" s="11" t="s">
        <v>72</v>
      </c>
      <c r="C14" s="12" t="s">
        <v>73</v>
      </c>
      <c r="D14" s="4" t="s">
        <v>74</v>
      </c>
      <c r="E14" s="12" t="s">
        <v>75</v>
      </c>
    </row>
    <row r="15" customFormat="false" ht="71.25" hidden="false" customHeight="true" outlineLevel="0" collapsed="false">
      <c r="A15" s="3" t="s">
        <v>76</v>
      </c>
      <c r="B15" s="11" t="s">
        <v>77</v>
      </c>
      <c r="C15" s="12" t="s">
        <v>78</v>
      </c>
      <c r="D15" s="4" t="s">
        <v>79</v>
      </c>
      <c r="E15" s="12" t="s">
        <v>80</v>
      </c>
    </row>
    <row r="16" customFormat="false" ht="44.25" hidden="false" customHeight="true" outlineLevel="0" collapsed="false">
      <c r="A16" s="3" t="s">
        <v>81</v>
      </c>
      <c r="B16" s="11" t="s">
        <v>82</v>
      </c>
      <c r="C16" s="12" t="s">
        <v>83</v>
      </c>
      <c r="D16" s="4" t="s">
        <v>84</v>
      </c>
      <c r="E16" s="12"/>
    </row>
    <row r="17" customFormat="false" ht="57.75" hidden="false" customHeight="true" outlineLevel="0" collapsed="false">
      <c r="A17" s="3" t="s">
        <v>85</v>
      </c>
      <c r="B17" s="11" t="s">
        <v>86</v>
      </c>
      <c r="C17" s="12" t="s">
        <v>87</v>
      </c>
      <c r="D17" s="4" t="s">
        <v>88</v>
      </c>
      <c r="E17" s="12" t="s">
        <v>89</v>
      </c>
    </row>
    <row r="18" customFormat="false" ht="57.75" hidden="false" customHeight="true" outlineLevel="0" collapsed="false">
      <c r="A18" s="3" t="s">
        <v>90</v>
      </c>
      <c r="B18" s="11" t="s">
        <v>91</v>
      </c>
      <c r="C18" s="12" t="s">
        <v>92</v>
      </c>
      <c r="D18" s="4" t="s">
        <v>92</v>
      </c>
      <c r="E18" s="12" t="s">
        <v>93</v>
      </c>
    </row>
    <row r="19" customFormat="false" ht="57.75" hidden="false" customHeight="true" outlineLevel="0" collapsed="false">
      <c r="A19" s="3" t="s">
        <v>94</v>
      </c>
      <c r="B19" s="11" t="s">
        <v>95</v>
      </c>
      <c r="C19" s="12" t="s">
        <v>96</v>
      </c>
      <c r="D19" s="4" t="s">
        <v>96</v>
      </c>
      <c r="E19" s="12" t="s">
        <v>97</v>
      </c>
    </row>
    <row r="20" customFormat="false" ht="71.25" hidden="false" customHeight="true" outlineLevel="0" collapsed="false">
      <c r="A20" s="3" t="s">
        <v>98</v>
      </c>
      <c r="B20" s="11" t="s">
        <v>99</v>
      </c>
      <c r="C20" s="12" t="s">
        <v>100</v>
      </c>
      <c r="D20" s="4" t="s">
        <v>101</v>
      </c>
      <c r="E20" s="12"/>
    </row>
    <row r="21" customFormat="false" ht="30.75" hidden="false" customHeight="true" outlineLevel="0" collapsed="false">
      <c r="A21" s="3" t="s">
        <v>102</v>
      </c>
      <c r="B21" s="11" t="s">
        <v>103</v>
      </c>
      <c r="C21" s="12" t="s">
        <v>104</v>
      </c>
      <c r="D21" s="4" t="s">
        <v>105</v>
      </c>
      <c r="E21" s="12"/>
    </row>
    <row r="23" customFormat="false" ht="15" hidden="false" customHeight="false" outlineLevel="0" collapsed="false">
      <c r="A23" s="13" t="s">
        <v>106</v>
      </c>
      <c r="B23" s="14" t="str">
        <f aca="false">COUNTA(D5:D21)&amp;" de 17"</f>
        <v>17 de 17</v>
      </c>
    </row>
  </sheetData>
  <mergeCells count="1">
    <mergeCell ref="A2:D2"/>
  </mergeCells>
  <dataValidations count="3">
    <dataValidation allowBlank="true" errorStyle="stop" operator="between" showDropDown="false" showErrorMessage="false" showInputMessage="false" sqref="D14" type="list">
      <formula1>"Diaria,Semanal,Mensual,Trimestral,Semestral,Anual,Única vez,Desconocida"</formula1>
      <formula2>0</formula2>
    </dataValidation>
    <dataValidation allowBlank="true" errorStyle="stop" operator="between" showDropDown="false" showErrorMessage="false" showInputMessage="false" sqref="D18" type="list">
      <formula1>"Pública,Uso interno,Confidencial,Restringida"</formula1>
      <formula2>0</formula2>
    </dataValidation>
    <dataValidation allowBlank="true" errorStyle="stop" operator="between" showDropDown="false" showErrorMessage="false" showInputMessage="false" sqref="D19" type="list">
      <formula1>"Sí,No,Parcial"</formula1>
      <formula2>0</formula2>
    </dataValidation>
  </dataValidations>
  <hyperlinks>
    <hyperlink ref="D11" r:id="rId1" display="https://www.datos.gov.co/d/jbjy-vk9h — SECOP II, plataforma de compra pública. Lo registran las entidades contratantes y lo publica la Agencia Nacional de Contratación Pública – Colombia Compra Eficiente"/>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6A"/>
    <pageSetUpPr fitToPage="true"/>
  </sheetPr>
  <dimension ref="A1:O1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71484375" defaultRowHeight="15" zeroHeight="false" outlineLevelRow="0" outlineLevelCol="0"/>
  <cols>
    <col collapsed="false" customWidth="true" hidden="false" outlineLevel="0" max="1" min="1" style="0" width="4"/>
    <col collapsed="false" customWidth="true" hidden="false" outlineLevel="0" max="2" min="2" style="0" width="16"/>
    <col collapsed="false" customWidth="true" hidden="false" outlineLevel="0" max="3" min="3" style="0" width="22"/>
    <col collapsed="false" customWidth="true" hidden="false" outlineLevel="0" max="4" min="4" style="0" width="20"/>
    <col collapsed="false" customWidth="true" hidden="false" outlineLevel="0" max="5" min="5" style="0" width="42"/>
    <col collapsed="false" customWidth="true" hidden="false" outlineLevel="0" max="6" min="6" style="0" width="14"/>
    <col collapsed="false" customWidth="true" hidden="false" outlineLevel="0" max="7" min="7" style="0" width="18"/>
    <col collapsed="false" customWidth="true" hidden="false" outlineLevel="0" max="8" min="8" style="0" width="26"/>
    <col collapsed="false" customWidth="true" hidden="false" outlineLevel="0" max="9" min="9" style="0" width="10"/>
    <col collapsed="false" customWidth="true" hidden="false" outlineLevel="0" max="10" min="10" style="0" width="12"/>
    <col collapsed="false" customWidth="true" hidden="false" outlineLevel="0" max="11" min="11" style="0" width="15"/>
    <col collapsed="false" customWidth="true" hidden="false" outlineLevel="0" max="12" min="12" style="0" width="32"/>
    <col collapsed="false" customWidth="true" hidden="false" outlineLevel="0" max="13" min="13" style="0" width="20"/>
    <col collapsed="false" customWidth="true" hidden="false" outlineLevel="0" max="14" min="14" style="0" width="18"/>
    <col collapsed="false" customWidth="true" hidden="false" outlineLevel="0" max="15" min="15" style="0" width="40"/>
  </cols>
  <sheetData>
    <row r="1" customFormat="false" ht="19.5" hidden="false" customHeight="true" outlineLevel="0" collapsed="false">
      <c r="A1" s="1" t="s">
        <v>107</v>
      </c>
    </row>
    <row r="2" customFormat="false" ht="30" hidden="false" customHeight="true" outlineLevel="0" collapsed="false">
      <c r="A2" s="2" t="s">
        <v>108</v>
      </c>
      <c r="B2" s="2"/>
      <c r="C2" s="2"/>
      <c r="D2" s="2"/>
      <c r="E2" s="2"/>
      <c r="F2" s="2"/>
      <c r="G2" s="2"/>
      <c r="H2" s="2"/>
      <c r="I2" s="2"/>
      <c r="J2" s="2"/>
      <c r="K2" s="2"/>
      <c r="L2" s="2"/>
      <c r="M2" s="2"/>
      <c r="N2" s="2"/>
    </row>
    <row r="4" customFormat="false" ht="54" hidden="false" customHeight="true" outlineLevel="0" collapsed="false">
      <c r="A4" s="10" t="s">
        <v>109</v>
      </c>
      <c r="B4" s="10" t="s">
        <v>110</v>
      </c>
      <c r="C4" s="10" t="s">
        <v>111</v>
      </c>
      <c r="D4" s="10" t="s">
        <v>112</v>
      </c>
      <c r="E4" s="10" t="s">
        <v>113</v>
      </c>
      <c r="F4" s="10" t="s">
        <v>114</v>
      </c>
      <c r="G4" s="10" t="s">
        <v>115</v>
      </c>
      <c r="H4" s="10" t="s">
        <v>116</v>
      </c>
      <c r="I4" s="10" t="s">
        <v>117</v>
      </c>
      <c r="J4" s="10" t="s">
        <v>118</v>
      </c>
      <c r="K4" s="10" t="s">
        <v>119</v>
      </c>
      <c r="L4" s="10" t="s">
        <v>120</v>
      </c>
      <c r="M4" s="10" t="s">
        <v>121</v>
      </c>
      <c r="N4" s="10" t="s">
        <v>122</v>
      </c>
      <c r="O4" s="10" t="s">
        <v>123</v>
      </c>
    </row>
    <row r="5" customFormat="false" ht="57.75" hidden="false" customHeight="true" outlineLevel="0" collapsed="false">
      <c r="A5" s="12" t="s">
        <v>124</v>
      </c>
      <c r="B5" s="12" t="s">
        <v>125</v>
      </c>
      <c r="C5" s="12" t="s">
        <v>126</v>
      </c>
      <c r="D5" s="12" t="s">
        <v>127</v>
      </c>
      <c r="E5" s="12" t="s">
        <v>128</v>
      </c>
      <c r="F5" s="12" t="s">
        <v>129</v>
      </c>
      <c r="G5" s="12" t="s">
        <v>130</v>
      </c>
      <c r="H5" s="12" t="s">
        <v>131</v>
      </c>
      <c r="I5" s="12" t="s">
        <v>132</v>
      </c>
      <c r="J5" s="12" t="s">
        <v>133</v>
      </c>
      <c r="K5" s="12" t="s">
        <v>134</v>
      </c>
      <c r="L5" s="12" t="s">
        <v>135</v>
      </c>
      <c r="M5" s="12" t="s">
        <v>136</v>
      </c>
      <c r="N5" s="12" t="s">
        <v>53</v>
      </c>
      <c r="O5" s="12" t="s">
        <v>137</v>
      </c>
    </row>
    <row r="6" customFormat="false" ht="71.25" hidden="false" customHeight="true" outlineLevel="0" collapsed="false">
      <c r="A6" s="15" t="n">
        <v>1</v>
      </c>
      <c r="B6" s="4" t="s">
        <v>138</v>
      </c>
      <c r="C6" s="4" t="s">
        <v>138</v>
      </c>
      <c r="D6" s="4" t="s">
        <v>139</v>
      </c>
      <c r="E6" s="4" t="s">
        <v>140</v>
      </c>
      <c r="F6" s="4" t="s">
        <v>141</v>
      </c>
      <c r="G6" s="4" t="s">
        <v>142</v>
      </c>
      <c r="H6" s="4" t="s">
        <v>143</v>
      </c>
      <c r="I6" s="4" t="s">
        <v>132</v>
      </c>
      <c r="J6" s="4" t="s">
        <v>144</v>
      </c>
      <c r="K6" s="4" t="s">
        <v>145</v>
      </c>
      <c r="L6" s="4" t="s">
        <v>146</v>
      </c>
      <c r="M6" s="4" t="s">
        <v>147</v>
      </c>
      <c r="N6" s="4" t="s">
        <v>148</v>
      </c>
      <c r="O6" s="4" t="s">
        <v>149</v>
      </c>
    </row>
    <row r="7" customFormat="false" ht="84.75" hidden="false" customHeight="true" outlineLevel="0" collapsed="false">
      <c r="A7" s="15" t="n">
        <v>2</v>
      </c>
      <c r="B7" s="4" t="s">
        <v>150</v>
      </c>
      <c r="C7" s="4" t="s">
        <v>151</v>
      </c>
      <c r="D7" s="4" t="s">
        <v>152</v>
      </c>
      <c r="E7" s="4" t="s">
        <v>153</v>
      </c>
      <c r="F7" s="4" t="s">
        <v>141</v>
      </c>
      <c r="G7" s="4" t="s">
        <v>154</v>
      </c>
      <c r="H7" s="4" t="s">
        <v>155</v>
      </c>
      <c r="I7" s="4" t="s">
        <v>132</v>
      </c>
      <c r="J7" s="4" t="s">
        <v>156</v>
      </c>
      <c r="K7" s="4" t="s">
        <v>145</v>
      </c>
      <c r="L7" s="4" t="s">
        <v>157</v>
      </c>
      <c r="M7" s="4" t="s">
        <v>147</v>
      </c>
      <c r="N7" s="4" t="s">
        <v>148</v>
      </c>
      <c r="O7" s="4" t="s">
        <v>158</v>
      </c>
    </row>
    <row r="8" customFormat="false" ht="111.75" hidden="false" customHeight="true" outlineLevel="0" collapsed="false">
      <c r="A8" s="15" t="n">
        <v>3</v>
      </c>
      <c r="B8" s="4" t="s">
        <v>159</v>
      </c>
      <c r="C8" s="4" t="s">
        <v>160</v>
      </c>
      <c r="D8" s="4" t="s">
        <v>161</v>
      </c>
      <c r="E8" s="4" t="s">
        <v>162</v>
      </c>
      <c r="F8" s="4" t="s">
        <v>141</v>
      </c>
      <c r="G8" s="4" t="s">
        <v>163</v>
      </c>
      <c r="H8" s="4" t="s">
        <v>164</v>
      </c>
      <c r="I8" s="4" t="s">
        <v>132</v>
      </c>
      <c r="J8" s="4" t="s">
        <v>165</v>
      </c>
      <c r="K8" s="4" t="s">
        <v>145</v>
      </c>
      <c r="L8" s="4" t="s">
        <v>166</v>
      </c>
      <c r="M8" s="4" t="s">
        <v>147</v>
      </c>
      <c r="N8" s="4" t="s">
        <v>148</v>
      </c>
      <c r="O8" s="16" t="s">
        <v>167</v>
      </c>
    </row>
    <row r="9" customFormat="false" ht="98.25" hidden="false" customHeight="true" outlineLevel="0" collapsed="false">
      <c r="A9" s="15" t="n">
        <v>4</v>
      </c>
      <c r="B9" s="4" t="s">
        <v>168</v>
      </c>
      <c r="C9" s="4" t="s">
        <v>169</v>
      </c>
      <c r="D9" s="4" t="s">
        <v>170</v>
      </c>
      <c r="E9" s="4" t="s">
        <v>171</v>
      </c>
      <c r="F9" s="4" t="s">
        <v>172</v>
      </c>
      <c r="G9" s="4" t="s">
        <v>173</v>
      </c>
      <c r="H9" s="4" t="s">
        <v>174</v>
      </c>
      <c r="I9" s="4" t="s">
        <v>132</v>
      </c>
      <c r="J9" s="4" t="s">
        <v>175</v>
      </c>
      <c r="K9" s="4" t="s">
        <v>145</v>
      </c>
      <c r="L9" s="4" t="s">
        <v>176</v>
      </c>
      <c r="M9" s="4" t="s">
        <v>147</v>
      </c>
      <c r="N9" s="4" t="s">
        <v>148</v>
      </c>
      <c r="O9" s="4" t="s">
        <v>177</v>
      </c>
    </row>
    <row r="10" customFormat="false" ht="71.25" hidden="false" customHeight="true" outlineLevel="0" collapsed="false">
      <c r="A10" s="15" t="n">
        <v>5</v>
      </c>
      <c r="B10" s="4" t="s">
        <v>178</v>
      </c>
      <c r="C10" s="4" t="s">
        <v>179</v>
      </c>
      <c r="D10" s="4" t="s">
        <v>180</v>
      </c>
      <c r="E10" s="4" t="s">
        <v>181</v>
      </c>
      <c r="F10" s="4" t="s">
        <v>182</v>
      </c>
      <c r="G10" s="4" t="s">
        <v>183</v>
      </c>
      <c r="H10" s="4" t="s">
        <v>184</v>
      </c>
      <c r="I10" s="4" t="s">
        <v>185</v>
      </c>
      <c r="J10" s="4" t="s">
        <v>186</v>
      </c>
      <c r="K10" s="4" t="s">
        <v>145</v>
      </c>
      <c r="L10" s="4" t="s">
        <v>187</v>
      </c>
      <c r="M10" s="4" t="s">
        <v>147</v>
      </c>
      <c r="N10" s="4" t="s">
        <v>148</v>
      </c>
      <c r="O10" s="16" t="s">
        <v>188</v>
      </c>
    </row>
    <row r="11" customFormat="false" ht="71.25" hidden="false" customHeight="true" outlineLevel="0" collapsed="false">
      <c r="A11" s="15" t="n">
        <v>6</v>
      </c>
      <c r="B11" s="4" t="s">
        <v>189</v>
      </c>
      <c r="C11" s="4" t="s">
        <v>190</v>
      </c>
      <c r="D11" s="4" t="s">
        <v>191</v>
      </c>
      <c r="E11" s="4" t="s">
        <v>192</v>
      </c>
      <c r="F11" s="4" t="s">
        <v>182</v>
      </c>
      <c r="G11" s="4" t="s">
        <v>193</v>
      </c>
      <c r="H11" s="4" t="s">
        <v>194</v>
      </c>
      <c r="I11" s="4" t="s">
        <v>132</v>
      </c>
      <c r="J11" s="4" t="s">
        <v>195</v>
      </c>
      <c r="K11" s="4" t="s">
        <v>145</v>
      </c>
      <c r="L11" s="4" t="s">
        <v>196</v>
      </c>
      <c r="M11" s="4" t="s">
        <v>147</v>
      </c>
      <c r="N11" s="4" t="s">
        <v>148</v>
      </c>
      <c r="O11" s="4" t="s">
        <v>197</v>
      </c>
    </row>
    <row r="12" customFormat="false" ht="125.25" hidden="false" customHeight="true" outlineLevel="0" collapsed="false">
      <c r="A12" s="15" t="n">
        <v>7</v>
      </c>
      <c r="B12" s="4" t="s">
        <v>198</v>
      </c>
      <c r="C12" s="4" t="s">
        <v>199</v>
      </c>
      <c r="D12" s="4" t="s">
        <v>200</v>
      </c>
      <c r="E12" s="4" t="s">
        <v>201</v>
      </c>
      <c r="F12" s="4" t="s">
        <v>182</v>
      </c>
      <c r="G12" s="4" t="s">
        <v>202</v>
      </c>
      <c r="H12" s="4" t="s">
        <v>203</v>
      </c>
      <c r="I12" s="4" t="s">
        <v>132</v>
      </c>
      <c r="J12" s="4" t="s">
        <v>204</v>
      </c>
      <c r="K12" s="4" t="s">
        <v>145</v>
      </c>
      <c r="L12" s="4" t="s">
        <v>205</v>
      </c>
      <c r="M12" s="4" t="s">
        <v>147</v>
      </c>
      <c r="N12" s="4" t="s">
        <v>148</v>
      </c>
      <c r="O12" s="4" t="s">
        <v>206</v>
      </c>
    </row>
    <row r="13" customFormat="false" ht="125.25" hidden="false" customHeight="true" outlineLevel="0" collapsed="false">
      <c r="A13" s="15" t="n">
        <v>8</v>
      </c>
      <c r="B13" s="4" t="s">
        <v>207</v>
      </c>
      <c r="C13" s="4" t="s">
        <v>208</v>
      </c>
      <c r="D13" s="4" t="s">
        <v>209</v>
      </c>
      <c r="E13" s="4" t="s">
        <v>210</v>
      </c>
      <c r="F13" s="4" t="s">
        <v>182</v>
      </c>
      <c r="G13" s="4" t="s">
        <v>193</v>
      </c>
      <c r="H13" s="4" t="s">
        <v>211</v>
      </c>
      <c r="I13" s="4" t="s">
        <v>132</v>
      </c>
      <c r="J13" s="4" t="s">
        <v>212</v>
      </c>
      <c r="K13" s="4" t="s">
        <v>145</v>
      </c>
      <c r="L13" s="4" t="s">
        <v>213</v>
      </c>
      <c r="M13" s="4" t="s">
        <v>147</v>
      </c>
      <c r="N13" s="4" t="s">
        <v>148</v>
      </c>
      <c r="O13" s="4" t="s">
        <v>214</v>
      </c>
    </row>
    <row r="14" customFormat="false" ht="138.75" hidden="false" customHeight="true" outlineLevel="0" collapsed="false">
      <c r="A14" s="15" t="n">
        <v>9</v>
      </c>
      <c r="B14" s="4" t="s">
        <v>215</v>
      </c>
      <c r="C14" s="4" t="s">
        <v>216</v>
      </c>
      <c r="D14" s="4" t="s">
        <v>217</v>
      </c>
      <c r="E14" s="4" t="s">
        <v>218</v>
      </c>
      <c r="F14" s="4" t="s">
        <v>182</v>
      </c>
      <c r="G14" s="4" t="s">
        <v>193</v>
      </c>
      <c r="H14" s="4" t="s">
        <v>219</v>
      </c>
      <c r="I14" s="4" t="s">
        <v>132</v>
      </c>
      <c r="J14" s="4" t="s">
        <v>220</v>
      </c>
      <c r="K14" s="4" t="s">
        <v>145</v>
      </c>
      <c r="L14" s="4" t="s">
        <v>221</v>
      </c>
      <c r="M14" s="4" t="s">
        <v>147</v>
      </c>
      <c r="N14" s="4" t="s">
        <v>148</v>
      </c>
      <c r="O14" s="4" t="s">
        <v>222</v>
      </c>
    </row>
    <row r="15" customFormat="false" ht="138.75" hidden="false" customHeight="true" outlineLevel="0" collapsed="false">
      <c r="A15" s="15" t="n">
        <v>10</v>
      </c>
      <c r="B15" s="4" t="s">
        <v>223</v>
      </c>
      <c r="C15" s="4" t="s">
        <v>224</v>
      </c>
      <c r="D15" s="4" t="s">
        <v>225</v>
      </c>
      <c r="E15" s="4" t="s">
        <v>226</v>
      </c>
      <c r="F15" s="4" t="s">
        <v>182</v>
      </c>
      <c r="G15" s="4" t="s">
        <v>227</v>
      </c>
      <c r="H15" s="4" t="s">
        <v>228</v>
      </c>
      <c r="I15" s="4" t="s">
        <v>132</v>
      </c>
      <c r="J15" s="4" t="s">
        <v>229</v>
      </c>
      <c r="K15" s="4" t="s">
        <v>145</v>
      </c>
      <c r="L15" s="4" t="s">
        <v>230</v>
      </c>
      <c r="M15" s="4" t="s">
        <v>147</v>
      </c>
      <c r="N15" s="4" t="s">
        <v>148</v>
      </c>
      <c r="O15" s="4" t="s">
        <v>231</v>
      </c>
    </row>
    <row r="16" customFormat="false" ht="84.75" hidden="false" customHeight="true" outlineLevel="0" collapsed="false">
      <c r="A16" s="15" t="n">
        <v>11</v>
      </c>
      <c r="B16" s="4" t="s">
        <v>232</v>
      </c>
      <c r="C16" s="4" t="s">
        <v>233</v>
      </c>
      <c r="D16" s="4" t="s">
        <v>234</v>
      </c>
      <c r="E16" s="4" t="s">
        <v>235</v>
      </c>
      <c r="F16" s="4" t="s">
        <v>236</v>
      </c>
      <c r="G16" s="4" t="s">
        <v>237</v>
      </c>
      <c r="H16" s="4" t="s">
        <v>238</v>
      </c>
      <c r="I16" s="4" t="s">
        <v>132</v>
      </c>
      <c r="J16" s="4" t="s">
        <v>239</v>
      </c>
      <c r="K16" s="4" t="s">
        <v>145</v>
      </c>
      <c r="L16" s="4" t="s">
        <v>240</v>
      </c>
      <c r="M16" s="4" t="s">
        <v>147</v>
      </c>
      <c r="N16" s="4" t="s">
        <v>148</v>
      </c>
      <c r="O16" s="4" t="s">
        <v>241</v>
      </c>
    </row>
    <row r="17" customFormat="false" ht="71.25" hidden="false" customHeight="true" outlineLevel="0" collapsed="false">
      <c r="A17" s="15" t="n">
        <v>12</v>
      </c>
      <c r="B17" s="4" t="s">
        <v>242</v>
      </c>
      <c r="C17" s="4" t="s">
        <v>243</v>
      </c>
      <c r="D17" s="4" t="s">
        <v>244</v>
      </c>
      <c r="E17" s="4" t="s">
        <v>245</v>
      </c>
      <c r="F17" s="4" t="s">
        <v>236</v>
      </c>
      <c r="G17" s="4" t="s">
        <v>246</v>
      </c>
      <c r="H17" s="4" t="s">
        <v>247</v>
      </c>
      <c r="I17" s="4" t="s">
        <v>248</v>
      </c>
      <c r="J17" s="4" t="s">
        <v>249</v>
      </c>
      <c r="K17" s="4" t="s">
        <v>145</v>
      </c>
      <c r="L17" s="4" t="s">
        <v>250</v>
      </c>
      <c r="M17" s="4" t="s">
        <v>147</v>
      </c>
      <c r="N17" s="4" t="s">
        <v>148</v>
      </c>
      <c r="O17" s="16" t="s">
        <v>251</v>
      </c>
    </row>
    <row r="18" customFormat="false" ht="44.25" hidden="false" customHeight="true" outlineLevel="0" collapsed="false">
      <c r="A18" s="15" t="n">
        <v>13</v>
      </c>
      <c r="B18" s="4" t="s">
        <v>252</v>
      </c>
      <c r="C18" s="4" t="s">
        <v>253</v>
      </c>
      <c r="D18" s="4" t="s">
        <v>254</v>
      </c>
      <c r="E18" s="4" t="s">
        <v>255</v>
      </c>
      <c r="F18" s="4" t="s">
        <v>236</v>
      </c>
      <c r="G18" s="4" t="s">
        <v>246</v>
      </c>
      <c r="H18" s="4" t="s">
        <v>256</v>
      </c>
      <c r="I18" s="4" t="s">
        <v>132</v>
      </c>
      <c r="J18" s="4" t="s">
        <v>257</v>
      </c>
      <c r="K18" s="4" t="s">
        <v>145</v>
      </c>
      <c r="L18" s="4" t="s">
        <v>258</v>
      </c>
      <c r="M18" s="4" t="s">
        <v>147</v>
      </c>
      <c r="N18" s="4" t="s">
        <v>148</v>
      </c>
      <c r="O18" s="16" t="s">
        <v>259</v>
      </c>
    </row>
    <row r="19" customFormat="false" ht="125.25" hidden="false" customHeight="true" outlineLevel="0" collapsed="false">
      <c r="A19" s="15" t="n">
        <v>14</v>
      </c>
      <c r="B19" s="4" t="s">
        <v>260</v>
      </c>
      <c r="C19" s="4" t="s">
        <v>261</v>
      </c>
      <c r="D19" s="4" t="s">
        <v>262</v>
      </c>
      <c r="E19" s="4" t="s">
        <v>263</v>
      </c>
      <c r="F19" s="4" t="s">
        <v>182</v>
      </c>
      <c r="G19" s="4" t="s">
        <v>193</v>
      </c>
      <c r="H19" s="4" t="s">
        <v>264</v>
      </c>
      <c r="I19" s="4" t="s">
        <v>132</v>
      </c>
      <c r="J19" s="4" t="s">
        <v>265</v>
      </c>
      <c r="K19" s="4" t="s">
        <v>145</v>
      </c>
      <c r="L19" s="4" t="s">
        <v>266</v>
      </c>
      <c r="M19" s="4" t="s">
        <v>147</v>
      </c>
      <c r="N19" s="4" t="s">
        <v>148</v>
      </c>
      <c r="O19" s="4" t="s">
        <v>267</v>
      </c>
    </row>
    <row r="20" customFormat="false" ht="84.75" hidden="false" customHeight="true" outlineLevel="0" collapsed="false">
      <c r="A20" s="15" t="n">
        <v>15</v>
      </c>
      <c r="B20" s="4" t="s">
        <v>268</v>
      </c>
      <c r="C20" s="4" t="s">
        <v>269</v>
      </c>
      <c r="D20" s="4" t="s">
        <v>270</v>
      </c>
      <c r="E20" s="4" t="s">
        <v>271</v>
      </c>
      <c r="F20" s="4" t="s">
        <v>141</v>
      </c>
      <c r="G20" s="4" t="s">
        <v>272</v>
      </c>
      <c r="H20" s="4" t="s">
        <v>273</v>
      </c>
      <c r="I20" s="4" t="s">
        <v>132</v>
      </c>
      <c r="J20" s="4" t="s">
        <v>274</v>
      </c>
      <c r="K20" s="17" t="s">
        <v>134</v>
      </c>
      <c r="L20" s="4" t="s">
        <v>275</v>
      </c>
      <c r="M20" s="4" t="s">
        <v>147</v>
      </c>
      <c r="N20" s="4" t="s">
        <v>148</v>
      </c>
      <c r="O20" s="16" t="s">
        <v>276</v>
      </c>
    </row>
    <row r="21" customFormat="false" ht="44.25" hidden="false" customHeight="true" outlineLevel="0" collapsed="false">
      <c r="A21" s="15" t="n">
        <v>16</v>
      </c>
      <c r="B21" s="4" t="s">
        <v>277</v>
      </c>
      <c r="C21" s="4" t="s">
        <v>278</v>
      </c>
      <c r="D21" s="4" t="s">
        <v>279</v>
      </c>
      <c r="E21" s="4" t="s">
        <v>280</v>
      </c>
      <c r="F21" s="4" t="s">
        <v>141</v>
      </c>
      <c r="G21" s="4" t="s">
        <v>281</v>
      </c>
      <c r="H21" s="4" t="s">
        <v>282</v>
      </c>
      <c r="I21" s="4" t="s">
        <v>132</v>
      </c>
      <c r="J21" s="4" t="s">
        <v>283</v>
      </c>
      <c r="K21" s="17" t="s">
        <v>134</v>
      </c>
      <c r="L21" s="4" t="s">
        <v>284</v>
      </c>
      <c r="M21" s="4" t="s">
        <v>147</v>
      </c>
      <c r="N21" s="4" t="s">
        <v>148</v>
      </c>
      <c r="O21" s="4" t="s">
        <v>285</v>
      </c>
    </row>
    <row r="22" customFormat="false" ht="71.25" hidden="false" customHeight="true" outlineLevel="0" collapsed="false">
      <c r="A22" s="15" t="n">
        <v>17</v>
      </c>
      <c r="B22" s="4" t="s">
        <v>286</v>
      </c>
      <c r="C22" s="4" t="s">
        <v>287</v>
      </c>
      <c r="D22" s="4" t="s">
        <v>288</v>
      </c>
      <c r="E22" s="4" t="s">
        <v>289</v>
      </c>
      <c r="F22" s="4" t="s">
        <v>290</v>
      </c>
      <c r="G22" s="4" t="s">
        <v>291</v>
      </c>
      <c r="H22" s="4" t="s">
        <v>292</v>
      </c>
      <c r="I22" s="4" t="s">
        <v>132</v>
      </c>
      <c r="J22" s="4" t="s">
        <v>132</v>
      </c>
      <c r="K22" s="4" t="s">
        <v>145</v>
      </c>
      <c r="L22" s="4" t="s">
        <v>293</v>
      </c>
      <c r="M22" s="4" t="s">
        <v>147</v>
      </c>
      <c r="N22" s="4" t="s">
        <v>148</v>
      </c>
      <c r="O22" s="4" t="s">
        <v>294</v>
      </c>
    </row>
    <row r="23" customFormat="false" ht="84.75" hidden="false" customHeight="true" outlineLevel="0" collapsed="false">
      <c r="A23" s="15" t="n">
        <v>18</v>
      </c>
      <c r="B23" s="4" t="s">
        <v>295</v>
      </c>
      <c r="C23" s="4" t="s">
        <v>296</v>
      </c>
      <c r="D23" s="4" t="s">
        <v>297</v>
      </c>
      <c r="E23" s="4" t="s">
        <v>298</v>
      </c>
      <c r="F23" s="4" t="s">
        <v>172</v>
      </c>
      <c r="G23" s="4" t="s">
        <v>299</v>
      </c>
      <c r="H23" s="4" t="s">
        <v>300</v>
      </c>
      <c r="I23" s="4" t="s">
        <v>132</v>
      </c>
      <c r="J23" s="4" t="s">
        <v>301</v>
      </c>
      <c r="K23" s="4" t="s">
        <v>145</v>
      </c>
      <c r="L23" s="4" t="s">
        <v>302</v>
      </c>
      <c r="M23" s="4" t="s">
        <v>147</v>
      </c>
      <c r="N23" s="4" t="s">
        <v>148</v>
      </c>
      <c r="O23" s="4" t="s">
        <v>303</v>
      </c>
    </row>
    <row r="24" customFormat="false" ht="44.25" hidden="false" customHeight="true" outlineLevel="0" collapsed="false">
      <c r="A24" s="15" t="n">
        <v>19</v>
      </c>
      <c r="B24" s="4" t="s">
        <v>304</v>
      </c>
      <c r="C24" s="4" t="s">
        <v>305</v>
      </c>
      <c r="D24" s="4" t="s">
        <v>306</v>
      </c>
      <c r="E24" s="4" t="s">
        <v>307</v>
      </c>
      <c r="F24" s="4" t="s">
        <v>172</v>
      </c>
      <c r="G24" s="4" t="s">
        <v>308</v>
      </c>
      <c r="H24" s="4" t="s">
        <v>309</v>
      </c>
      <c r="I24" s="4" t="s">
        <v>132</v>
      </c>
      <c r="J24" s="4" t="s">
        <v>310</v>
      </c>
      <c r="K24" s="4" t="s">
        <v>145</v>
      </c>
      <c r="L24" s="4" t="s">
        <v>311</v>
      </c>
      <c r="M24" s="4" t="s">
        <v>147</v>
      </c>
      <c r="N24" s="4" t="s">
        <v>148</v>
      </c>
      <c r="O24" s="16" t="s">
        <v>312</v>
      </c>
    </row>
    <row r="25" customFormat="false" ht="125.25" hidden="false" customHeight="true" outlineLevel="0" collapsed="false">
      <c r="A25" s="15" t="n">
        <v>20</v>
      </c>
      <c r="B25" s="4" t="s">
        <v>313</v>
      </c>
      <c r="C25" s="4" t="s">
        <v>314</v>
      </c>
      <c r="D25" s="4" t="s">
        <v>315</v>
      </c>
      <c r="E25" s="4" t="s">
        <v>316</v>
      </c>
      <c r="F25" s="4" t="s">
        <v>141</v>
      </c>
      <c r="G25" s="4" t="s">
        <v>317</v>
      </c>
      <c r="H25" s="4" t="s">
        <v>318</v>
      </c>
      <c r="I25" s="4" t="s">
        <v>132</v>
      </c>
      <c r="J25" s="4" t="s">
        <v>319</v>
      </c>
      <c r="K25" s="4" t="s">
        <v>145</v>
      </c>
      <c r="L25" s="4" t="s">
        <v>320</v>
      </c>
      <c r="M25" s="4" t="s">
        <v>147</v>
      </c>
      <c r="N25" s="4" t="s">
        <v>148</v>
      </c>
      <c r="O25" s="4" t="s">
        <v>321</v>
      </c>
    </row>
    <row r="26" customFormat="false" ht="70.5" hidden="false" customHeight="true" outlineLevel="0" collapsed="false">
      <c r="A26" s="15" t="n">
        <v>21</v>
      </c>
      <c r="B26" s="4" t="s">
        <v>322</v>
      </c>
      <c r="C26" s="4" t="s">
        <v>323</v>
      </c>
      <c r="D26" s="4" t="s">
        <v>324</v>
      </c>
      <c r="E26" s="4" t="s">
        <v>325</v>
      </c>
      <c r="F26" s="4" t="s">
        <v>182</v>
      </c>
      <c r="G26" s="4" t="s">
        <v>326</v>
      </c>
      <c r="H26" s="4" t="s">
        <v>327</v>
      </c>
      <c r="I26" s="4" t="s">
        <v>132</v>
      </c>
      <c r="J26" s="4" t="s">
        <v>328</v>
      </c>
      <c r="K26" s="4" t="s">
        <v>145</v>
      </c>
      <c r="L26" s="4" t="s">
        <v>329</v>
      </c>
      <c r="M26" s="4" t="s">
        <v>147</v>
      </c>
      <c r="N26" s="4" t="s">
        <v>148</v>
      </c>
      <c r="O26" s="4" t="s">
        <v>330</v>
      </c>
    </row>
    <row r="27" customFormat="false" ht="70.5" hidden="false" customHeight="true" outlineLevel="0" collapsed="false">
      <c r="A27" s="15" t="n">
        <v>22</v>
      </c>
      <c r="B27" s="4" t="s">
        <v>331</v>
      </c>
      <c r="C27" s="4" t="s">
        <v>332</v>
      </c>
      <c r="D27" s="4" t="s">
        <v>333</v>
      </c>
      <c r="E27" s="4" t="s">
        <v>334</v>
      </c>
      <c r="F27" s="4" t="s">
        <v>141</v>
      </c>
      <c r="G27" s="4" t="s">
        <v>335</v>
      </c>
      <c r="H27" s="4" t="s">
        <v>336</v>
      </c>
      <c r="I27" s="4" t="s">
        <v>132</v>
      </c>
      <c r="J27" s="4" t="s">
        <v>337</v>
      </c>
      <c r="K27" s="4" t="s">
        <v>145</v>
      </c>
      <c r="L27" s="4" t="s">
        <v>338</v>
      </c>
      <c r="M27" s="4" t="s">
        <v>147</v>
      </c>
      <c r="N27" s="4" t="s">
        <v>148</v>
      </c>
      <c r="O27" s="4" t="s">
        <v>339</v>
      </c>
    </row>
    <row r="28" customFormat="false" ht="70.5" hidden="false" customHeight="true" outlineLevel="0" collapsed="false">
      <c r="A28" s="15" t="n">
        <v>23</v>
      </c>
      <c r="B28" s="4" t="s">
        <v>340</v>
      </c>
      <c r="C28" s="4" t="s">
        <v>341</v>
      </c>
      <c r="D28" s="4" t="s">
        <v>342</v>
      </c>
      <c r="E28" s="4" t="s">
        <v>343</v>
      </c>
      <c r="F28" s="4" t="s">
        <v>182</v>
      </c>
      <c r="G28" s="4" t="s">
        <v>193</v>
      </c>
      <c r="H28" s="4" t="s">
        <v>344</v>
      </c>
      <c r="I28" s="4" t="s">
        <v>132</v>
      </c>
      <c r="J28" s="4" t="s">
        <v>345</v>
      </c>
      <c r="K28" s="4" t="s">
        <v>145</v>
      </c>
      <c r="L28" s="4" t="s">
        <v>346</v>
      </c>
      <c r="M28" s="4" t="s">
        <v>147</v>
      </c>
      <c r="N28" s="4" t="s">
        <v>148</v>
      </c>
      <c r="O28" s="4" t="s">
        <v>347</v>
      </c>
    </row>
    <row r="29" customFormat="false" ht="57.75" hidden="false" customHeight="true" outlineLevel="0" collapsed="false">
      <c r="A29" s="15" t="n">
        <v>24</v>
      </c>
      <c r="B29" s="4" t="s">
        <v>348</v>
      </c>
      <c r="C29" s="4" t="s">
        <v>349</v>
      </c>
      <c r="D29" s="4" t="s">
        <v>350</v>
      </c>
      <c r="E29" s="4" t="s">
        <v>351</v>
      </c>
      <c r="F29" s="4" t="s">
        <v>182</v>
      </c>
      <c r="G29" s="4" t="s">
        <v>193</v>
      </c>
      <c r="H29" s="4" t="s">
        <v>352</v>
      </c>
      <c r="I29" s="4" t="s">
        <v>132</v>
      </c>
      <c r="J29" s="4" t="s">
        <v>353</v>
      </c>
      <c r="K29" s="4" t="s">
        <v>145</v>
      </c>
      <c r="L29" s="4" t="s">
        <v>354</v>
      </c>
      <c r="M29" s="4" t="s">
        <v>147</v>
      </c>
      <c r="N29" s="4" t="s">
        <v>148</v>
      </c>
      <c r="O29" s="4" t="s">
        <v>355</v>
      </c>
    </row>
    <row r="30" customFormat="false" ht="84" hidden="false" customHeight="true" outlineLevel="0" collapsed="false">
      <c r="A30" s="15" t="n">
        <v>25</v>
      </c>
      <c r="B30" s="4" t="s">
        <v>356</v>
      </c>
      <c r="C30" s="4" t="s">
        <v>357</v>
      </c>
      <c r="D30" s="4" t="s">
        <v>358</v>
      </c>
      <c r="E30" s="4" t="s">
        <v>359</v>
      </c>
      <c r="F30" s="4" t="s">
        <v>182</v>
      </c>
      <c r="G30" s="4" t="s">
        <v>193</v>
      </c>
      <c r="H30" s="4" t="s">
        <v>360</v>
      </c>
      <c r="I30" s="4" t="s">
        <v>132</v>
      </c>
      <c r="J30" s="4" t="s">
        <v>361</v>
      </c>
      <c r="K30" s="4" t="s">
        <v>145</v>
      </c>
      <c r="L30" s="4" t="s">
        <v>362</v>
      </c>
      <c r="M30" s="4" t="s">
        <v>147</v>
      </c>
      <c r="N30" s="4" t="s">
        <v>148</v>
      </c>
      <c r="O30" s="4" t="s">
        <v>363</v>
      </c>
    </row>
    <row r="31" customFormat="false" ht="70.5" hidden="false" customHeight="true" outlineLevel="0" collapsed="false">
      <c r="A31" s="15" t="n">
        <v>26</v>
      </c>
      <c r="B31" s="4" t="s">
        <v>364</v>
      </c>
      <c r="C31" s="4" t="s">
        <v>365</v>
      </c>
      <c r="D31" s="4" t="s">
        <v>366</v>
      </c>
      <c r="E31" s="4" t="s">
        <v>367</v>
      </c>
      <c r="F31" s="4" t="s">
        <v>141</v>
      </c>
      <c r="G31" s="4" t="s">
        <v>368</v>
      </c>
      <c r="H31" s="4" t="s">
        <v>281</v>
      </c>
      <c r="I31" s="4" t="s">
        <v>369</v>
      </c>
      <c r="J31" s="4" t="s">
        <v>370</v>
      </c>
      <c r="K31" s="4" t="s">
        <v>145</v>
      </c>
      <c r="L31" s="4" t="s">
        <v>371</v>
      </c>
      <c r="M31" s="4" t="s">
        <v>147</v>
      </c>
      <c r="N31" s="4" t="s">
        <v>148</v>
      </c>
      <c r="O31" s="4" t="s">
        <v>372</v>
      </c>
    </row>
    <row r="32" customFormat="false" ht="84" hidden="false" customHeight="true" outlineLevel="0" collapsed="false">
      <c r="A32" s="15" t="n">
        <v>27</v>
      </c>
      <c r="B32" s="4" t="s">
        <v>373</v>
      </c>
      <c r="C32" s="4" t="s">
        <v>374</v>
      </c>
      <c r="D32" s="4" t="s">
        <v>375</v>
      </c>
      <c r="E32" s="4" t="s">
        <v>376</v>
      </c>
      <c r="F32" s="4" t="s">
        <v>182</v>
      </c>
      <c r="G32" s="4" t="s">
        <v>377</v>
      </c>
      <c r="H32" s="4" t="s">
        <v>378</v>
      </c>
      <c r="I32" s="4" t="s">
        <v>132</v>
      </c>
      <c r="J32" s="4" t="s">
        <v>379</v>
      </c>
      <c r="K32" s="4" t="s">
        <v>145</v>
      </c>
      <c r="L32" s="4" t="s">
        <v>380</v>
      </c>
      <c r="M32" s="4" t="s">
        <v>147</v>
      </c>
      <c r="N32" s="4" t="s">
        <v>148</v>
      </c>
      <c r="O32" s="4" t="s">
        <v>381</v>
      </c>
    </row>
    <row r="33" customFormat="false" ht="84" hidden="false" customHeight="true" outlineLevel="0" collapsed="false">
      <c r="A33" s="15" t="n">
        <v>28</v>
      </c>
      <c r="B33" s="4" t="s">
        <v>382</v>
      </c>
      <c r="C33" s="4" t="s">
        <v>383</v>
      </c>
      <c r="D33" s="4" t="s">
        <v>384</v>
      </c>
      <c r="E33" s="4" t="s">
        <v>385</v>
      </c>
      <c r="F33" s="4" t="s">
        <v>141</v>
      </c>
      <c r="G33" s="4" t="s">
        <v>281</v>
      </c>
      <c r="H33" s="4" t="s">
        <v>281</v>
      </c>
      <c r="I33" s="4" t="s">
        <v>386</v>
      </c>
      <c r="J33" s="4" t="s">
        <v>387</v>
      </c>
      <c r="K33" s="4" t="s">
        <v>145</v>
      </c>
      <c r="L33" s="4" t="s">
        <v>388</v>
      </c>
      <c r="M33" s="4" t="s">
        <v>147</v>
      </c>
      <c r="N33" s="4" t="s">
        <v>148</v>
      </c>
      <c r="O33" s="4" t="s">
        <v>389</v>
      </c>
    </row>
    <row r="34" customFormat="false" ht="57.75" hidden="false" customHeight="true" outlineLevel="0" collapsed="false">
      <c r="A34" s="15" t="n">
        <v>29</v>
      </c>
      <c r="B34" s="4" t="s">
        <v>390</v>
      </c>
      <c r="C34" s="4" t="s">
        <v>391</v>
      </c>
      <c r="D34" s="4" t="s">
        <v>392</v>
      </c>
      <c r="E34" s="4" t="s">
        <v>393</v>
      </c>
      <c r="F34" s="4" t="s">
        <v>236</v>
      </c>
      <c r="G34" s="4" t="s">
        <v>246</v>
      </c>
      <c r="H34" s="4" t="s">
        <v>394</v>
      </c>
      <c r="I34" s="4" t="s">
        <v>395</v>
      </c>
      <c r="J34" s="4" t="s">
        <v>396</v>
      </c>
      <c r="K34" s="4" t="s">
        <v>145</v>
      </c>
      <c r="L34" s="4" t="s">
        <v>397</v>
      </c>
      <c r="M34" s="4" t="s">
        <v>147</v>
      </c>
      <c r="N34" s="4" t="s">
        <v>148</v>
      </c>
      <c r="O34" s="4" t="s">
        <v>398</v>
      </c>
    </row>
    <row r="35" customFormat="false" ht="57.75" hidden="false" customHeight="true" outlineLevel="0" collapsed="false">
      <c r="A35" s="15" t="n">
        <v>30</v>
      </c>
      <c r="B35" s="4" t="s">
        <v>399</v>
      </c>
      <c r="C35" s="4" t="s">
        <v>400</v>
      </c>
      <c r="D35" s="4" t="s">
        <v>401</v>
      </c>
      <c r="E35" s="4" t="s">
        <v>402</v>
      </c>
      <c r="F35" s="4" t="s">
        <v>236</v>
      </c>
      <c r="G35" s="4" t="s">
        <v>246</v>
      </c>
      <c r="H35" s="4" t="s">
        <v>403</v>
      </c>
      <c r="I35" s="4" t="s">
        <v>395</v>
      </c>
      <c r="J35" s="4" t="s">
        <v>404</v>
      </c>
      <c r="K35" s="4" t="s">
        <v>145</v>
      </c>
      <c r="L35" s="4" t="s">
        <v>405</v>
      </c>
      <c r="M35" s="4" t="s">
        <v>147</v>
      </c>
      <c r="N35" s="4" t="s">
        <v>148</v>
      </c>
      <c r="O35" s="4" t="s">
        <v>398</v>
      </c>
    </row>
    <row r="36" customFormat="false" ht="70.5" hidden="false" customHeight="true" outlineLevel="0" collapsed="false">
      <c r="A36" s="15" t="n">
        <v>31</v>
      </c>
      <c r="B36" s="4" t="s">
        <v>406</v>
      </c>
      <c r="C36" s="4" t="s">
        <v>407</v>
      </c>
      <c r="D36" s="4" t="s">
        <v>408</v>
      </c>
      <c r="E36" s="4" t="s">
        <v>409</v>
      </c>
      <c r="F36" s="4" t="s">
        <v>182</v>
      </c>
      <c r="G36" s="4" t="s">
        <v>193</v>
      </c>
      <c r="H36" s="4" t="s">
        <v>410</v>
      </c>
      <c r="I36" s="4" t="s">
        <v>411</v>
      </c>
      <c r="J36" s="4" t="s">
        <v>412</v>
      </c>
      <c r="K36" s="4" t="s">
        <v>145</v>
      </c>
      <c r="L36" s="4" t="s">
        <v>413</v>
      </c>
      <c r="M36" s="4" t="s">
        <v>147</v>
      </c>
      <c r="N36" s="4" t="s">
        <v>148</v>
      </c>
      <c r="O36" s="4" t="s">
        <v>414</v>
      </c>
    </row>
    <row r="37" customFormat="false" ht="70.5" hidden="false" customHeight="true" outlineLevel="0" collapsed="false">
      <c r="A37" s="15" t="n">
        <v>32</v>
      </c>
      <c r="B37" s="4" t="s">
        <v>415</v>
      </c>
      <c r="C37" s="4" t="s">
        <v>416</v>
      </c>
      <c r="D37" s="4" t="s">
        <v>417</v>
      </c>
      <c r="E37" s="4" t="s">
        <v>418</v>
      </c>
      <c r="F37" s="4" t="s">
        <v>290</v>
      </c>
      <c r="G37" s="4" t="s">
        <v>419</v>
      </c>
      <c r="H37" s="4" t="s">
        <v>292</v>
      </c>
      <c r="I37" s="4" t="s">
        <v>132</v>
      </c>
      <c r="J37" s="4" t="s">
        <v>132</v>
      </c>
      <c r="K37" s="4" t="s">
        <v>145</v>
      </c>
      <c r="L37" s="4" t="s">
        <v>293</v>
      </c>
      <c r="M37" s="4" t="s">
        <v>147</v>
      </c>
      <c r="N37" s="4" t="s">
        <v>148</v>
      </c>
      <c r="O37" s="4" t="s">
        <v>363</v>
      </c>
    </row>
    <row r="38" customFormat="false" ht="70.5" hidden="false" customHeight="true" outlineLevel="0" collapsed="false">
      <c r="A38" s="15" t="n">
        <v>33</v>
      </c>
      <c r="B38" s="4" t="s">
        <v>420</v>
      </c>
      <c r="C38" s="4" t="s">
        <v>421</v>
      </c>
      <c r="D38" s="4" t="s">
        <v>422</v>
      </c>
      <c r="E38" s="4" t="s">
        <v>423</v>
      </c>
      <c r="F38" s="4" t="s">
        <v>290</v>
      </c>
      <c r="G38" s="4" t="s">
        <v>419</v>
      </c>
      <c r="H38" s="4" t="s">
        <v>292</v>
      </c>
      <c r="I38" s="4" t="s">
        <v>424</v>
      </c>
      <c r="J38" s="4" t="s">
        <v>132</v>
      </c>
      <c r="K38" s="4" t="s">
        <v>145</v>
      </c>
      <c r="L38" s="4" t="s">
        <v>425</v>
      </c>
      <c r="M38" s="4" t="s">
        <v>147</v>
      </c>
      <c r="N38" s="4" t="s">
        <v>148</v>
      </c>
      <c r="O38" s="4" t="s">
        <v>426</v>
      </c>
    </row>
    <row r="39" customFormat="false" ht="109.5" hidden="false" customHeight="true" outlineLevel="0" collapsed="false">
      <c r="A39" s="15" t="n">
        <v>34</v>
      </c>
      <c r="B39" s="4" t="s">
        <v>427</v>
      </c>
      <c r="C39" s="4" t="s">
        <v>428</v>
      </c>
      <c r="D39" s="4" t="s">
        <v>429</v>
      </c>
      <c r="E39" s="4" t="s">
        <v>430</v>
      </c>
      <c r="F39" s="4" t="s">
        <v>290</v>
      </c>
      <c r="G39" s="4" t="s">
        <v>419</v>
      </c>
      <c r="H39" s="4" t="s">
        <v>292</v>
      </c>
      <c r="I39" s="4" t="s">
        <v>132</v>
      </c>
      <c r="J39" s="4" t="s">
        <v>431</v>
      </c>
      <c r="K39" s="4" t="s">
        <v>145</v>
      </c>
      <c r="L39" s="4" t="s">
        <v>432</v>
      </c>
      <c r="M39" s="4" t="s">
        <v>147</v>
      </c>
      <c r="N39" s="4" t="s">
        <v>148</v>
      </c>
      <c r="O39" s="4" t="s">
        <v>433</v>
      </c>
    </row>
    <row r="40" customFormat="false" ht="57.75" hidden="false" customHeight="true" outlineLevel="0" collapsed="false">
      <c r="A40" s="15" t="n">
        <v>35</v>
      </c>
      <c r="B40" s="4" t="s">
        <v>434</v>
      </c>
      <c r="C40" s="4" t="s">
        <v>435</v>
      </c>
      <c r="D40" s="4" t="s">
        <v>436</v>
      </c>
      <c r="E40" s="4" t="s">
        <v>437</v>
      </c>
      <c r="F40" s="4" t="s">
        <v>290</v>
      </c>
      <c r="G40" s="4" t="s">
        <v>419</v>
      </c>
      <c r="H40" s="4" t="s">
        <v>292</v>
      </c>
      <c r="I40" s="4" t="s">
        <v>132</v>
      </c>
      <c r="J40" s="4" t="s">
        <v>132</v>
      </c>
      <c r="K40" s="4" t="s">
        <v>145</v>
      </c>
      <c r="L40" s="4" t="s">
        <v>293</v>
      </c>
      <c r="M40" s="4" t="s">
        <v>147</v>
      </c>
      <c r="N40" s="4" t="s">
        <v>148</v>
      </c>
      <c r="O40" s="4" t="s">
        <v>363</v>
      </c>
    </row>
    <row r="41" customFormat="false" ht="84" hidden="false" customHeight="true" outlineLevel="0" collapsed="false">
      <c r="A41" s="15" t="n">
        <v>36</v>
      </c>
      <c r="B41" s="4" t="s">
        <v>438</v>
      </c>
      <c r="C41" s="4" t="s">
        <v>439</v>
      </c>
      <c r="D41" s="4" t="s">
        <v>440</v>
      </c>
      <c r="E41" s="4" t="s">
        <v>441</v>
      </c>
      <c r="F41" s="4" t="s">
        <v>290</v>
      </c>
      <c r="G41" s="4" t="s">
        <v>419</v>
      </c>
      <c r="H41" s="4" t="s">
        <v>292</v>
      </c>
      <c r="I41" s="4" t="s">
        <v>132</v>
      </c>
      <c r="J41" s="4" t="s">
        <v>132</v>
      </c>
      <c r="K41" s="4" t="s">
        <v>145</v>
      </c>
      <c r="L41" s="4" t="s">
        <v>293</v>
      </c>
      <c r="M41" s="4" t="s">
        <v>147</v>
      </c>
      <c r="N41" s="4" t="s">
        <v>148</v>
      </c>
      <c r="O41" s="4" t="s">
        <v>363</v>
      </c>
    </row>
    <row r="42" customFormat="false" ht="96.75" hidden="false" customHeight="true" outlineLevel="0" collapsed="false">
      <c r="A42" s="15" t="n">
        <v>37</v>
      </c>
      <c r="B42" s="4" t="s">
        <v>442</v>
      </c>
      <c r="C42" s="4" t="s">
        <v>443</v>
      </c>
      <c r="D42" s="4" t="s">
        <v>444</v>
      </c>
      <c r="E42" s="4" t="s">
        <v>445</v>
      </c>
      <c r="F42" s="4" t="s">
        <v>290</v>
      </c>
      <c r="G42" s="4" t="s">
        <v>419</v>
      </c>
      <c r="H42" s="4" t="s">
        <v>292</v>
      </c>
      <c r="I42" s="4" t="s">
        <v>132</v>
      </c>
      <c r="J42" s="4" t="s">
        <v>132</v>
      </c>
      <c r="K42" s="4" t="s">
        <v>145</v>
      </c>
      <c r="L42" s="4" t="s">
        <v>293</v>
      </c>
      <c r="M42" s="4" t="s">
        <v>147</v>
      </c>
      <c r="N42" s="4" t="s">
        <v>148</v>
      </c>
      <c r="O42" s="4" t="s">
        <v>363</v>
      </c>
    </row>
    <row r="43" customFormat="false" ht="70.5" hidden="false" customHeight="true" outlineLevel="0" collapsed="false">
      <c r="A43" s="15" t="n">
        <v>38</v>
      </c>
      <c r="B43" s="4" t="s">
        <v>446</v>
      </c>
      <c r="C43" s="4" t="s">
        <v>447</v>
      </c>
      <c r="D43" s="4" t="s">
        <v>448</v>
      </c>
      <c r="E43" s="4" t="s">
        <v>449</v>
      </c>
      <c r="F43" s="4" t="s">
        <v>182</v>
      </c>
      <c r="G43" s="4" t="s">
        <v>193</v>
      </c>
      <c r="H43" s="4" t="s">
        <v>450</v>
      </c>
      <c r="I43" s="4" t="s">
        <v>132</v>
      </c>
      <c r="J43" s="4" t="s">
        <v>451</v>
      </c>
      <c r="K43" s="4" t="s">
        <v>145</v>
      </c>
      <c r="L43" s="4" t="s">
        <v>452</v>
      </c>
      <c r="M43" s="4" t="s">
        <v>147</v>
      </c>
      <c r="N43" s="4" t="s">
        <v>148</v>
      </c>
      <c r="O43" s="4" t="s">
        <v>363</v>
      </c>
    </row>
    <row r="44" customFormat="false" ht="57.75" hidden="false" customHeight="true" outlineLevel="0" collapsed="false">
      <c r="A44" s="15" t="n">
        <v>39</v>
      </c>
      <c r="B44" s="4" t="s">
        <v>453</v>
      </c>
      <c r="C44" s="4" t="s">
        <v>454</v>
      </c>
      <c r="D44" s="4" t="s">
        <v>455</v>
      </c>
      <c r="E44" s="4" t="s">
        <v>456</v>
      </c>
      <c r="F44" s="4" t="s">
        <v>182</v>
      </c>
      <c r="G44" s="4" t="s">
        <v>193</v>
      </c>
      <c r="H44" s="4" t="s">
        <v>457</v>
      </c>
      <c r="I44" s="4" t="s">
        <v>458</v>
      </c>
      <c r="J44" s="4" t="s">
        <v>459</v>
      </c>
      <c r="K44" s="4" t="s">
        <v>145</v>
      </c>
      <c r="L44" s="4" t="s">
        <v>460</v>
      </c>
      <c r="M44" s="4" t="s">
        <v>147</v>
      </c>
      <c r="N44" s="4" t="s">
        <v>148</v>
      </c>
      <c r="O44" s="4" t="s">
        <v>461</v>
      </c>
    </row>
    <row r="45" customFormat="false" ht="57.75" hidden="false" customHeight="true" outlineLevel="0" collapsed="false">
      <c r="A45" s="15" t="n">
        <v>40</v>
      </c>
      <c r="B45" s="4" t="s">
        <v>462</v>
      </c>
      <c r="C45" s="4" t="s">
        <v>463</v>
      </c>
      <c r="D45" s="4" t="s">
        <v>464</v>
      </c>
      <c r="E45" s="4" t="s">
        <v>465</v>
      </c>
      <c r="F45" s="4" t="s">
        <v>172</v>
      </c>
      <c r="G45" s="4" t="s">
        <v>299</v>
      </c>
      <c r="H45" s="4" t="s">
        <v>466</v>
      </c>
      <c r="I45" s="4" t="s">
        <v>132</v>
      </c>
      <c r="J45" s="4" t="s">
        <v>310</v>
      </c>
      <c r="K45" s="4" t="s">
        <v>145</v>
      </c>
      <c r="L45" s="4" t="s">
        <v>467</v>
      </c>
      <c r="M45" s="4" t="s">
        <v>147</v>
      </c>
      <c r="N45" s="4" t="s">
        <v>148</v>
      </c>
      <c r="O45" s="4" t="s">
        <v>468</v>
      </c>
    </row>
    <row r="46" customFormat="false" ht="57.75" hidden="false" customHeight="true" outlineLevel="0" collapsed="false">
      <c r="A46" s="15" t="n">
        <v>41</v>
      </c>
      <c r="B46" s="4" t="s">
        <v>469</v>
      </c>
      <c r="C46" s="4" t="s">
        <v>470</v>
      </c>
      <c r="D46" s="4" t="s">
        <v>471</v>
      </c>
      <c r="E46" s="4" t="s">
        <v>472</v>
      </c>
      <c r="F46" s="4" t="s">
        <v>172</v>
      </c>
      <c r="G46" s="4" t="s">
        <v>299</v>
      </c>
      <c r="H46" s="4" t="s">
        <v>466</v>
      </c>
      <c r="I46" s="4" t="s">
        <v>132</v>
      </c>
      <c r="J46" s="4" t="s">
        <v>473</v>
      </c>
      <c r="K46" s="4" t="s">
        <v>145</v>
      </c>
      <c r="L46" s="4" t="s">
        <v>474</v>
      </c>
      <c r="M46" s="4" t="s">
        <v>147</v>
      </c>
      <c r="N46" s="4" t="s">
        <v>148</v>
      </c>
      <c r="O46" s="4" t="s">
        <v>475</v>
      </c>
    </row>
    <row r="47" customFormat="false" ht="70.5" hidden="false" customHeight="true" outlineLevel="0" collapsed="false">
      <c r="A47" s="15" t="n">
        <v>42</v>
      </c>
      <c r="B47" s="4" t="s">
        <v>476</v>
      </c>
      <c r="C47" s="4" t="s">
        <v>477</v>
      </c>
      <c r="D47" s="4" t="s">
        <v>478</v>
      </c>
      <c r="E47" s="4" t="s">
        <v>479</v>
      </c>
      <c r="F47" s="4" t="s">
        <v>172</v>
      </c>
      <c r="G47" s="4" t="s">
        <v>299</v>
      </c>
      <c r="H47" s="4" t="s">
        <v>466</v>
      </c>
      <c r="I47" s="4" t="s">
        <v>132</v>
      </c>
      <c r="J47" s="4" t="s">
        <v>310</v>
      </c>
      <c r="K47" s="4" t="s">
        <v>145</v>
      </c>
      <c r="L47" s="4" t="s">
        <v>474</v>
      </c>
      <c r="M47" s="4" t="s">
        <v>147</v>
      </c>
      <c r="N47" s="4" t="s">
        <v>148</v>
      </c>
      <c r="O47" s="4" t="s">
        <v>480</v>
      </c>
    </row>
    <row r="48" customFormat="false" ht="57.75" hidden="false" customHeight="true" outlineLevel="0" collapsed="false">
      <c r="A48" s="15" t="n">
        <v>43</v>
      </c>
      <c r="B48" s="4" t="s">
        <v>481</v>
      </c>
      <c r="C48" s="4" t="s">
        <v>482</v>
      </c>
      <c r="D48" s="4" t="s">
        <v>483</v>
      </c>
      <c r="E48" s="4" t="s">
        <v>484</v>
      </c>
      <c r="F48" s="4" t="s">
        <v>172</v>
      </c>
      <c r="G48" s="4" t="s">
        <v>299</v>
      </c>
      <c r="H48" s="4" t="s">
        <v>466</v>
      </c>
      <c r="I48" s="4" t="s">
        <v>132</v>
      </c>
      <c r="J48" s="4" t="s">
        <v>473</v>
      </c>
      <c r="K48" s="4" t="s">
        <v>145</v>
      </c>
      <c r="L48" s="4" t="s">
        <v>485</v>
      </c>
      <c r="M48" s="4" t="s">
        <v>147</v>
      </c>
      <c r="N48" s="4" t="s">
        <v>148</v>
      </c>
      <c r="O48" s="4" t="s">
        <v>486</v>
      </c>
    </row>
    <row r="49" customFormat="false" ht="45" hidden="false" customHeight="true" outlineLevel="0" collapsed="false">
      <c r="A49" s="15" t="n">
        <v>44</v>
      </c>
      <c r="B49" s="4" t="s">
        <v>487</v>
      </c>
      <c r="C49" s="4" t="s">
        <v>488</v>
      </c>
      <c r="D49" s="4" t="s">
        <v>489</v>
      </c>
      <c r="E49" s="4" t="s">
        <v>490</v>
      </c>
      <c r="F49" s="4" t="s">
        <v>172</v>
      </c>
      <c r="G49" s="4" t="s">
        <v>299</v>
      </c>
      <c r="H49" s="4" t="s">
        <v>466</v>
      </c>
      <c r="I49" s="4" t="s">
        <v>132</v>
      </c>
      <c r="J49" s="4" t="s">
        <v>310</v>
      </c>
      <c r="K49" s="4" t="s">
        <v>145</v>
      </c>
      <c r="L49" s="4" t="s">
        <v>491</v>
      </c>
      <c r="M49" s="4" t="s">
        <v>147</v>
      </c>
      <c r="N49" s="4" t="s">
        <v>148</v>
      </c>
      <c r="O49" s="4" t="s">
        <v>492</v>
      </c>
    </row>
    <row r="50" customFormat="false" ht="57.75" hidden="false" customHeight="true" outlineLevel="0" collapsed="false">
      <c r="A50" s="15" t="n">
        <v>45</v>
      </c>
      <c r="B50" s="4" t="s">
        <v>493</v>
      </c>
      <c r="C50" s="4" t="s">
        <v>494</v>
      </c>
      <c r="D50" s="4" t="s">
        <v>495</v>
      </c>
      <c r="E50" s="4" t="s">
        <v>496</v>
      </c>
      <c r="F50" s="4" t="s">
        <v>172</v>
      </c>
      <c r="G50" s="4" t="s">
        <v>299</v>
      </c>
      <c r="H50" s="4" t="s">
        <v>466</v>
      </c>
      <c r="I50" s="4" t="s">
        <v>132</v>
      </c>
      <c r="J50" s="4" t="s">
        <v>310</v>
      </c>
      <c r="K50" s="4" t="s">
        <v>145</v>
      </c>
      <c r="L50" s="4" t="s">
        <v>497</v>
      </c>
      <c r="M50" s="4" t="s">
        <v>147</v>
      </c>
      <c r="N50" s="4" t="s">
        <v>148</v>
      </c>
      <c r="O50" s="4" t="s">
        <v>498</v>
      </c>
    </row>
    <row r="51" customFormat="false" ht="45" hidden="false" customHeight="true" outlineLevel="0" collapsed="false">
      <c r="A51" s="15" t="n">
        <v>46</v>
      </c>
      <c r="B51" s="4" t="s">
        <v>499</v>
      </c>
      <c r="C51" s="4" t="s">
        <v>500</v>
      </c>
      <c r="D51" s="4" t="s">
        <v>501</v>
      </c>
      <c r="E51" s="4" t="s">
        <v>502</v>
      </c>
      <c r="F51" s="4" t="s">
        <v>172</v>
      </c>
      <c r="G51" s="4" t="s">
        <v>299</v>
      </c>
      <c r="H51" s="4" t="s">
        <v>466</v>
      </c>
      <c r="I51" s="4" t="s">
        <v>132</v>
      </c>
      <c r="J51" s="4" t="s">
        <v>310</v>
      </c>
      <c r="K51" s="4" t="s">
        <v>145</v>
      </c>
      <c r="L51" s="4" t="s">
        <v>474</v>
      </c>
      <c r="M51" s="4" t="s">
        <v>147</v>
      </c>
      <c r="N51" s="4" t="s">
        <v>148</v>
      </c>
      <c r="O51" s="4" t="s">
        <v>503</v>
      </c>
    </row>
    <row r="52" customFormat="false" ht="57.75" hidden="false" customHeight="true" outlineLevel="0" collapsed="false">
      <c r="A52" s="15" t="n">
        <v>47</v>
      </c>
      <c r="B52" s="4" t="s">
        <v>504</v>
      </c>
      <c r="C52" s="4" t="s">
        <v>505</v>
      </c>
      <c r="D52" s="4" t="s">
        <v>506</v>
      </c>
      <c r="E52" s="4" t="s">
        <v>507</v>
      </c>
      <c r="F52" s="4" t="s">
        <v>182</v>
      </c>
      <c r="G52" s="4" t="s">
        <v>193</v>
      </c>
      <c r="H52" s="4" t="s">
        <v>508</v>
      </c>
      <c r="I52" s="4" t="s">
        <v>395</v>
      </c>
      <c r="J52" s="4" t="s">
        <v>509</v>
      </c>
      <c r="K52" s="4" t="s">
        <v>145</v>
      </c>
      <c r="L52" s="4" t="s">
        <v>510</v>
      </c>
      <c r="M52" s="4" t="s">
        <v>147</v>
      </c>
      <c r="N52" s="4" t="s">
        <v>148</v>
      </c>
      <c r="O52" s="4" t="s">
        <v>398</v>
      </c>
    </row>
    <row r="53" customFormat="false" ht="70.5" hidden="false" customHeight="true" outlineLevel="0" collapsed="false">
      <c r="A53" s="15" t="n">
        <v>48</v>
      </c>
      <c r="B53" s="4" t="s">
        <v>511</v>
      </c>
      <c r="C53" s="4" t="s">
        <v>512</v>
      </c>
      <c r="D53" s="4" t="s">
        <v>513</v>
      </c>
      <c r="E53" s="4" t="s">
        <v>514</v>
      </c>
      <c r="F53" s="4" t="s">
        <v>141</v>
      </c>
      <c r="G53" s="4" t="s">
        <v>515</v>
      </c>
      <c r="H53" s="4" t="s">
        <v>516</v>
      </c>
      <c r="I53" s="4" t="s">
        <v>395</v>
      </c>
      <c r="J53" s="4" t="s">
        <v>517</v>
      </c>
      <c r="K53" s="4" t="s">
        <v>145</v>
      </c>
      <c r="L53" s="4" t="s">
        <v>518</v>
      </c>
      <c r="M53" s="4" t="s">
        <v>147</v>
      </c>
      <c r="N53" s="4" t="s">
        <v>148</v>
      </c>
      <c r="O53" s="4" t="s">
        <v>398</v>
      </c>
    </row>
    <row r="54" customFormat="false" ht="45" hidden="false" customHeight="true" outlineLevel="0" collapsed="false">
      <c r="A54" s="15" t="n">
        <v>49</v>
      </c>
      <c r="B54" s="4" t="s">
        <v>519</v>
      </c>
      <c r="C54" s="4" t="s">
        <v>520</v>
      </c>
      <c r="D54" s="4" t="s">
        <v>521</v>
      </c>
      <c r="E54" s="4" t="s">
        <v>522</v>
      </c>
      <c r="F54" s="4" t="s">
        <v>141</v>
      </c>
      <c r="G54" s="4" t="s">
        <v>523</v>
      </c>
      <c r="H54" s="4" t="s">
        <v>524</v>
      </c>
      <c r="I54" s="4" t="s">
        <v>395</v>
      </c>
      <c r="J54" s="4" t="s">
        <v>525</v>
      </c>
      <c r="K54" s="4" t="s">
        <v>145</v>
      </c>
      <c r="L54" s="4" t="s">
        <v>526</v>
      </c>
      <c r="M54" s="4" t="s">
        <v>147</v>
      </c>
      <c r="N54" s="4" t="s">
        <v>148</v>
      </c>
      <c r="O54" s="4" t="s">
        <v>398</v>
      </c>
    </row>
    <row r="55" customFormat="false" ht="57.75" hidden="false" customHeight="true" outlineLevel="0" collapsed="false">
      <c r="A55" s="15" t="n">
        <v>50</v>
      </c>
      <c r="B55" s="4" t="s">
        <v>527</v>
      </c>
      <c r="C55" s="4" t="s">
        <v>528</v>
      </c>
      <c r="D55" s="4" t="s">
        <v>529</v>
      </c>
      <c r="E55" s="4" t="s">
        <v>530</v>
      </c>
      <c r="F55" s="4" t="s">
        <v>172</v>
      </c>
      <c r="G55" s="4" t="s">
        <v>299</v>
      </c>
      <c r="H55" s="4" t="s">
        <v>466</v>
      </c>
      <c r="I55" s="4" t="s">
        <v>132</v>
      </c>
      <c r="J55" s="4" t="s">
        <v>310</v>
      </c>
      <c r="K55" s="4" t="s">
        <v>145</v>
      </c>
      <c r="L55" s="4" t="s">
        <v>474</v>
      </c>
      <c r="M55" s="4" t="s">
        <v>147</v>
      </c>
      <c r="N55" s="4" t="s">
        <v>148</v>
      </c>
      <c r="O55" s="4" t="s">
        <v>531</v>
      </c>
    </row>
    <row r="56" customFormat="false" ht="45" hidden="false" customHeight="true" outlineLevel="0" collapsed="false">
      <c r="A56" s="15" t="n">
        <v>51</v>
      </c>
      <c r="B56" s="4" t="s">
        <v>532</v>
      </c>
      <c r="C56" s="4" t="s">
        <v>533</v>
      </c>
      <c r="D56" s="4" t="s">
        <v>534</v>
      </c>
      <c r="E56" s="4" t="s">
        <v>535</v>
      </c>
      <c r="F56" s="4" t="s">
        <v>172</v>
      </c>
      <c r="G56" s="4" t="s">
        <v>299</v>
      </c>
      <c r="H56" s="4" t="s">
        <v>466</v>
      </c>
      <c r="I56" s="4" t="s">
        <v>132</v>
      </c>
      <c r="J56" s="4" t="s">
        <v>310</v>
      </c>
      <c r="K56" s="4" t="s">
        <v>145</v>
      </c>
      <c r="L56" s="4" t="s">
        <v>474</v>
      </c>
      <c r="M56" s="4" t="s">
        <v>147</v>
      </c>
      <c r="N56" s="4" t="s">
        <v>148</v>
      </c>
      <c r="O56" s="4" t="s">
        <v>536</v>
      </c>
    </row>
    <row r="57" customFormat="false" ht="45" hidden="false" customHeight="true" outlineLevel="0" collapsed="false">
      <c r="A57" s="15" t="n">
        <v>52</v>
      </c>
      <c r="B57" s="4" t="s">
        <v>537</v>
      </c>
      <c r="C57" s="4" t="s">
        <v>538</v>
      </c>
      <c r="D57" s="4" t="s">
        <v>539</v>
      </c>
      <c r="E57" s="4" t="s">
        <v>540</v>
      </c>
      <c r="F57" s="4" t="s">
        <v>290</v>
      </c>
      <c r="G57" s="4" t="s">
        <v>419</v>
      </c>
      <c r="H57" s="4" t="s">
        <v>292</v>
      </c>
      <c r="I57" s="4" t="s">
        <v>132</v>
      </c>
      <c r="J57" s="4" t="s">
        <v>132</v>
      </c>
      <c r="K57" s="4" t="s">
        <v>145</v>
      </c>
      <c r="L57" s="4" t="s">
        <v>293</v>
      </c>
      <c r="M57" s="4" t="s">
        <v>147</v>
      </c>
      <c r="N57" s="4" t="s">
        <v>148</v>
      </c>
      <c r="O57" s="4" t="s">
        <v>363</v>
      </c>
    </row>
    <row r="58" customFormat="false" ht="45" hidden="false" customHeight="true" outlineLevel="0" collapsed="false">
      <c r="A58" s="15" t="n">
        <v>53</v>
      </c>
      <c r="B58" s="4" t="s">
        <v>541</v>
      </c>
      <c r="C58" s="4" t="s">
        <v>542</v>
      </c>
      <c r="D58" s="4" t="s">
        <v>543</v>
      </c>
      <c r="E58" s="4" t="s">
        <v>544</v>
      </c>
      <c r="F58" s="4" t="s">
        <v>182</v>
      </c>
      <c r="G58" s="4" t="s">
        <v>193</v>
      </c>
      <c r="H58" s="4" t="s">
        <v>545</v>
      </c>
      <c r="I58" s="4" t="s">
        <v>395</v>
      </c>
      <c r="J58" s="4" t="s">
        <v>546</v>
      </c>
      <c r="K58" s="4" t="s">
        <v>145</v>
      </c>
      <c r="L58" s="4" t="s">
        <v>547</v>
      </c>
      <c r="M58" s="4" t="s">
        <v>147</v>
      </c>
      <c r="N58" s="4" t="s">
        <v>148</v>
      </c>
      <c r="O58" s="4" t="s">
        <v>398</v>
      </c>
    </row>
    <row r="59" customFormat="false" ht="45" hidden="false" customHeight="true" outlineLevel="0" collapsed="false">
      <c r="A59" s="15" t="n">
        <v>54</v>
      </c>
      <c r="B59" s="4" t="s">
        <v>548</v>
      </c>
      <c r="C59" s="4" t="s">
        <v>549</v>
      </c>
      <c r="D59" s="4" t="s">
        <v>550</v>
      </c>
      <c r="E59" s="4" t="s">
        <v>551</v>
      </c>
      <c r="F59" s="4" t="s">
        <v>182</v>
      </c>
      <c r="G59" s="4" t="s">
        <v>193</v>
      </c>
      <c r="H59" s="4" t="s">
        <v>545</v>
      </c>
      <c r="I59" s="4" t="s">
        <v>395</v>
      </c>
      <c r="J59" s="4" t="s">
        <v>552</v>
      </c>
      <c r="K59" s="4" t="s">
        <v>145</v>
      </c>
      <c r="L59" s="4" t="s">
        <v>547</v>
      </c>
      <c r="M59" s="4" t="s">
        <v>147</v>
      </c>
      <c r="N59" s="4" t="s">
        <v>148</v>
      </c>
      <c r="O59" s="4" t="s">
        <v>398</v>
      </c>
    </row>
    <row r="60" customFormat="false" ht="70.5" hidden="false" customHeight="true" outlineLevel="0" collapsed="false">
      <c r="A60" s="15" t="n">
        <v>55</v>
      </c>
      <c r="B60" s="4" t="s">
        <v>553</v>
      </c>
      <c r="C60" s="4" t="s">
        <v>554</v>
      </c>
      <c r="D60" s="4" t="s">
        <v>555</v>
      </c>
      <c r="E60" s="4" t="s">
        <v>556</v>
      </c>
      <c r="F60" s="4" t="s">
        <v>141</v>
      </c>
      <c r="G60" s="4" t="s">
        <v>163</v>
      </c>
      <c r="H60" s="4" t="s">
        <v>281</v>
      </c>
      <c r="I60" s="4" t="s">
        <v>557</v>
      </c>
      <c r="J60" s="4" t="s">
        <v>283</v>
      </c>
      <c r="K60" s="4" t="s">
        <v>134</v>
      </c>
      <c r="L60" s="4" t="s">
        <v>558</v>
      </c>
      <c r="M60" s="4" t="s">
        <v>147</v>
      </c>
      <c r="N60" s="4" t="s">
        <v>148</v>
      </c>
      <c r="O60" s="4" t="s">
        <v>398</v>
      </c>
    </row>
    <row r="61" customFormat="false" ht="70.5" hidden="false" customHeight="true" outlineLevel="0" collapsed="false">
      <c r="A61" s="15" t="n">
        <v>56</v>
      </c>
      <c r="B61" s="4" t="s">
        <v>559</v>
      </c>
      <c r="C61" s="4" t="s">
        <v>560</v>
      </c>
      <c r="D61" s="4" t="s">
        <v>561</v>
      </c>
      <c r="E61" s="4" t="s">
        <v>562</v>
      </c>
      <c r="F61" s="4" t="s">
        <v>182</v>
      </c>
      <c r="G61" s="4" t="s">
        <v>563</v>
      </c>
      <c r="H61" s="4" t="s">
        <v>564</v>
      </c>
      <c r="I61" s="4" t="s">
        <v>557</v>
      </c>
      <c r="J61" s="4" t="s">
        <v>565</v>
      </c>
      <c r="K61" s="4" t="s">
        <v>134</v>
      </c>
      <c r="L61" s="4" t="s">
        <v>566</v>
      </c>
      <c r="M61" s="4" t="s">
        <v>147</v>
      </c>
      <c r="N61" s="4" t="s">
        <v>148</v>
      </c>
      <c r="O61" s="4" t="s">
        <v>398</v>
      </c>
    </row>
    <row r="62" customFormat="false" ht="84" hidden="false" customHeight="true" outlineLevel="0" collapsed="false">
      <c r="A62" s="15" t="n">
        <v>57</v>
      </c>
      <c r="B62" s="4" t="s">
        <v>567</v>
      </c>
      <c r="C62" s="4" t="s">
        <v>568</v>
      </c>
      <c r="D62" s="4" t="s">
        <v>569</v>
      </c>
      <c r="E62" s="4" t="s">
        <v>570</v>
      </c>
      <c r="F62" s="4" t="s">
        <v>141</v>
      </c>
      <c r="G62" s="4" t="s">
        <v>281</v>
      </c>
      <c r="H62" s="4" t="s">
        <v>281</v>
      </c>
      <c r="I62" s="4" t="s">
        <v>557</v>
      </c>
      <c r="J62" s="4" t="s">
        <v>571</v>
      </c>
      <c r="K62" s="4" t="s">
        <v>134</v>
      </c>
      <c r="L62" s="4" t="s">
        <v>572</v>
      </c>
      <c r="M62" s="4" t="s">
        <v>147</v>
      </c>
      <c r="N62" s="4" t="s">
        <v>148</v>
      </c>
      <c r="O62" s="4" t="s">
        <v>398</v>
      </c>
    </row>
    <row r="63" customFormat="false" ht="70.5" hidden="false" customHeight="true" outlineLevel="0" collapsed="false">
      <c r="A63" s="15" t="n">
        <v>58</v>
      </c>
      <c r="B63" s="4" t="s">
        <v>573</v>
      </c>
      <c r="C63" s="4" t="s">
        <v>574</v>
      </c>
      <c r="D63" s="4" t="s">
        <v>575</v>
      </c>
      <c r="E63" s="4" t="s">
        <v>576</v>
      </c>
      <c r="F63" s="4" t="s">
        <v>182</v>
      </c>
      <c r="G63" s="4" t="s">
        <v>193</v>
      </c>
      <c r="H63" s="4" t="s">
        <v>577</v>
      </c>
      <c r="I63" s="4" t="s">
        <v>557</v>
      </c>
      <c r="J63" s="4" t="s">
        <v>265</v>
      </c>
      <c r="K63" s="4" t="s">
        <v>145</v>
      </c>
      <c r="L63" s="4" t="s">
        <v>578</v>
      </c>
      <c r="M63" s="4" t="s">
        <v>147</v>
      </c>
      <c r="N63" s="4" t="s">
        <v>148</v>
      </c>
      <c r="O63" s="4" t="s">
        <v>398</v>
      </c>
    </row>
    <row r="64" customFormat="false" ht="70.5" hidden="false" customHeight="true" outlineLevel="0" collapsed="false">
      <c r="A64" s="15" t="n">
        <v>59</v>
      </c>
      <c r="B64" s="4" t="s">
        <v>579</v>
      </c>
      <c r="C64" s="4" t="s">
        <v>580</v>
      </c>
      <c r="D64" s="4" t="s">
        <v>581</v>
      </c>
      <c r="E64" s="4" t="s">
        <v>582</v>
      </c>
      <c r="F64" s="4" t="s">
        <v>141</v>
      </c>
      <c r="G64" s="4" t="s">
        <v>583</v>
      </c>
      <c r="H64" s="4" t="s">
        <v>516</v>
      </c>
      <c r="I64" s="4" t="s">
        <v>557</v>
      </c>
      <c r="J64" s="4" t="s">
        <v>274</v>
      </c>
      <c r="K64" s="4" t="s">
        <v>134</v>
      </c>
      <c r="L64" s="4" t="s">
        <v>584</v>
      </c>
      <c r="M64" s="4" t="s">
        <v>147</v>
      </c>
      <c r="N64" s="4" t="s">
        <v>148</v>
      </c>
      <c r="O64" s="4" t="s">
        <v>398</v>
      </c>
    </row>
    <row r="65" customFormat="false" ht="70.5" hidden="false" customHeight="true" outlineLevel="0" collapsed="false">
      <c r="A65" s="15" t="n">
        <v>60</v>
      </c>
      <c r="B65" s="4" t="s">
        <v>585</v>
      </c>
      <c r="C65" s="4" t="s">
        <v>586</v>
      </c>
      <c r="D65" s="4" t="s">
        <v>587</v>
      </c>
      <c r="E65" s="4" t="s">
        <v>588</v>
      </c>
      <c r="F65" s="4" t="s">
        <v>182</v>
      </c>
      <c r="G65" s="4" t="s">
        <v>193</v>
      </c>
      <c r="H65" s="4" t="s">
        <v>589</v>
      </c>
      <c r="I65" s="4" t="s">
        <v>557</v>
      </c>
      <c r="J65" s="4" t="s">
        <v>590</v>
      </c>
      <c r="K65" s="4" t="s">
        <v>134</v>
      </c>
      <c r="L65" s="4" t="s">
        <v>591</v>
      </c>
      <c r="M65" s="4" t="s">
        <v>147</v>
      </c>
      <c r="N65" s="4" t="s">
        <v>148</v>
      </c>
      <c r="O65" s="4" t="s">
        <v>398</v>
      </c>
    </row>
    <row r="66" customFormat="false" ht="70.5" hidden="false" customHeight="true" outlineLevel="0" collapsed="false">
      <c r="A66" s="15" t="n">
        <v>61</v>
      </c>
      <c r="B66" s="4" t="s">
        <v>592</v>
      </c>
      <c r="C66" s="4" t="s">
        <v>593</v>
      </c>
      <c r="D66" s="4" t="s">
        <v>594</v>
      </c>
      <c r="E66" s="4" t="s">
        <v>595</v>
      </c>
      <c r="F66" s="4" t="s">
        <v>172</v>
      </c>
      <c r="G66" s="4" t="s">
        <v>299</v>
      </c>
      <c r="H66" s="4" t="s">
        <v>466</v>
      </c>
      <c r="I66" s="4" t="s">
        <v>132</v>
      </c>
      <c r="J66" s="4" t="s">
        <v>310</v>
      </c>
      <c r="K66" s="4" t="s">
        <v>145</v>
      </c>
      <c r="L66" s="4" t="s">
        <v>596</v>
      </c>
      <c r="M66" s="4" t="s">
        <v>147</v>
      </c>
      <c r="N66" s="4" t="s">
        <v>148</v>
      </c>
      <c r="O66" s="4" t="s">
        <v>597</v>
      </c>
    </row>
    <row r="67" customFormat="false" ht="84" hidden="false" customHeight="true" outlineLevel="0" collapsed="false">
      <c r="A67" s="15" t="n">
        <v>62</v>
      </c>
      <c r="B67" s="4" t="s">
        <v>598</v>
      </c>
      <c r="C67" s="4" t="s">
        <v>599</v>
      </c>
      <c r="D67" s="4" t="s">
        <v>600</v>
      </c>
      <c r="E67" s="4" t="s">
        <v>601</v>
      </c>
      <c r="F67" s="4" t="s">
        <v>172</v>
      </c>
      <c r="G67" s="4" t="s">
        <v>299</v>
      </c>
      <c r="H67" s="4" t="s">
        <v>466</v>
      </c>
      <c r="I67" s="4" t="s">
        <v>132</v>
      </c>
      <c r="J67" s="4" t="s">
        <v>310</v>
      </c>
      <c r="K67" s="4" t="s">
        <v>145</v>
      </c>
      <c r="L67" s="4" t="s">
        <v>596</v>
      </c>
      <c r="M67" s="4" t="s">
        <v>147</v>
      </c>
      <c r="N67" s="4" t="s">
        <v>148</v>
      </c>
      <c r="O67" s="4" t="s">
        <v>602</v>
      </c>
    </row>
    <row r="68" customFormat="false" ht="70.5" hidden="false" customHeight="true" outlineLevel="0" collapsed="false">
      <c r="A68" s="15" t="n">
        <v>63</v>
      </c>
      <c r="B68" s="4" t="s">
        <v>603</v>
      </c>
      <c r="C68" s="4" t="s">
        <v>604</v>
      </c>
      <c r="D68" s="4" t="s">
        <v>605</v>
      </c>
      <c r="E68" s="4" t="s">
        <v>606</v>
      </c>
      <c r="F68" s="4" t="s">
        <v>172</v>
      </c>
      <c r="G68" s="4" t="s">
        <v>299</v>
      </c>
      <c r="H68" s="4" t="s">
        <v>466</v>
      </c>
      <c r="I68" s="4" t="s">
        <v>132</v>
      </c>
      <c r="J68" s="4" t="s">
        <v>310</v>
      </c>
      <c r="K68" s="4" t="s">
        <v>145</v>
      </c>
      <c r="L68" s="4" t="s">
        <v>596</v>
      </c>
      <c r="M68" s="4" t="s">
        <v>147</v>
      </c>
      <c r="N68" s="4" t="s">
        <v>148</v>
      </c>
      <c r="O68" s="4" t="s">
        <v>607</v>
      </c>
    </row>
    <row r="69" customFormat="false" ht="70.5" hidden="false" customHeight="true" outlineLevel="0" collapsed="false">
      <c r="A69" s="15" t="n">
        <v>64</v>
      </c>
      <c r="B69" s="4" t="s">
        <v>608</v>
      </c>
      <c r="C69" s="4" t="s">
        <v>609</v>
      </c>
      <c r="D69" s="4" t="s">
        <v>610</v>
      </c>
      <c r="E69" s="4" t="s">
        <v>611</v>
      </c>
      <c r="F69" s="4" t="s">
        <v>172</v>
      </c>
      <c r="G69" s="4" t="s">
        <v>299</v>
      </c>
      <c r="H69" s="4" t="s">
        <v>466</v>
      </c>
      <c r="I69" s="4" t="s">
        <v>132</v>
      </c>
      <c r="J69" s="4" t="s">
        <v>310</v>
      </c>
      <c r="K69" s="4" t="s">
        <v>145</v>
      </c>
      <c r="L69" s="4" t="s">
        <v>596</v>
      </c>
      <c r="M69" s="4" t="s">
        <v>147</v>
      </c>
      <c r="N69" s="4" t="s">
        <v>148</v>
      </c>
      <c r="O69" s="4" t="s">
        <v>612</v>
      </c>
    </row>
    <row r="70" customFormat="false" ht="70.5" hidden="false" customHeight="true" outlineLevel="0" collapsed="false">
      <c r="A70" s="15" t="n">
        <v>65</v>
      </c>
      <c r="B70" s="4" t="s">
        <v>613</v>
      </c>
      <c r="C70" s="4" t="s">
        <v>614</v>
      </c>
      <c r="D70" s="4" t="s">
        <v>615</v>
      </c>
      <c r="E70" s="4" t="s">
        <v>616</v>
      </c>
      <c r="F70" s="4" t="s">
        <v>172</v>
      </c>
      <c r="G70" s="4" t="s">
        <v>299</v>
      </c>
      <c r="H70" s="4" t="s">
        <v>466</v>
      </c>
      <c r="I70" s="4" t="s">
        <v>132</v>
      </c>
      <c r="J70" s="4" t="s">
        <v>310</v>
      </c>
      <c r="K70" s="4" t="s">
        <v>145</v>
      </c>
      <c r="L70" s="4" t="s">
        <v>596</v>
      </c>
      <c r="M70" s="4" t="s">
        <v>147</v>
      </c>
      <c r="N70" s="4" t="s">
        <v>148</v>
      </c>
      <c r="O70" s="4" t="s">
        <v>617</v>
      </c>
    </row>
    <row r="71" customFormat="false" ht="70.5" hidden="false" customHeight="true" outlineLevel="0" collapsed="false">
      <c r="A71" s="15" t="n">
        <v>66</v>
      </c>
      <c r="B71" s="4" t="s">
        <v>618</v>
      </c>
      <c r="C71" s="4" t="s">
        <v>619</v>
      </c>
      <c r="D71" s="4" t="s">
        <v>620</v>
      </c>
      <c r="E71" s="4" t="s">
        <v>621</v>
      </c>
      <c r="F71" s="4" t="s">
        <v>172</v>
      </c>
      <c r="G71" s="4" t="s">
        <v>299</v>
      </c>
      <c r="H71" s="4" t="s">
        <v>466</v>
      </c>
      <c r="I71" s="4" t="s">
        <v>132</v>
      </c>
      <c r="J71" s="4" t="s">
        <v>310</v>
      </c>
      <c r="K71" s="4" t="s">
        <v>145</v>
      </c>
      <c r="L71" s="4" t="s">
        <v>596</v>
      </c>
      <c r="M71" s="4" t="s">
        <v>147</v>
      </c>
      <c r="N71" s="4" t="s">
        <v>148</v>
      </c>
      <c r="O71" s="4" t="s">
        <v>622</v>
      </c>
    </row>
    <row r="72" customFormat="false" ht="70.5" hidden="false" customHeight="true" outlineLevel="0" collapsed="false">
      <c r="A72" s="15" t="n">
        <v>67</v>
      </c>
      <c r="B72" s="4" t="s">
        <v>623</v>
      </c>
      <c r="C72" s="4" t="s">
        <v>624</v>
      </c>
      <c r="D72" s="4" t="s">
        <v>625</v>
      </c>
      <c r="E72" s="4" t="s">
        <v>626</v>
      </c>
      <c r="F72" s="4" t="s">
        <v>627</v>
      </c>
      <c r="G72" s="4" t="s">
        <v>628</v>
      </c>
      <c r="H72" s="4" t="s">
        <v>629</v>
      </c>
      <c r="I72" s="4" t="s">
        <v>630</v>
      </c>
      <c r="J72" s="4" t="s">
        <v>631</v>
      </c>
      <c r="K72" s="4" t="s">
        <v>145</v>
      </c>
      <c r="L72" s="4" t="s">
        <v>632</v>
      </c>
      <c r="M72" s="4" t="s">
        <v>147</v>
      </c>
      <c r="N72" s="4" t="s">
        <v>148</v>
      </c>
      <c r="O72" s="4" t="s">
        <v>633</v>
      </c>
    </row>
    <row r="73" customFormat="false" ht="70.5" hidden="false" customHeight="true" outlineLevel="0" collapsed="false">
      <c r="A73" s="15" t="n">
        <v>68</v>
      </c>
      <c r="B73" s="4" t="s">
        <v>634</v>
      </c>
      <c r="C73" s="4" t="s">
        <v>635</v>
      </c>
      <c r="D73" s="4" t="s">
        <v>636</v>
      </c>
      <c r="E73" s="4" t="s">
        <v>637</v>
      </c>
      <c r="F73" s="4" t="s">
        <v>172</v>
      </c>
      <c r="G73" s="4" t="s">
        <v>516</v>
      </c>
      <c r="H73" s="4" t="s">
        <v>516</v>
      </c>
      <c r="I73" s="4" t="s">
        <v>132</v>
      </c>
      <c r="J73" s="4" t="s">
        <v>638</v>
      </c>
      <c r="K73" s="4" t="s">
        <v>145</v>
      </c>
      <c r="L73" s="4" t="s">
        <v>639</v>
      </c>
      <c r="M73" s="4" t="s">
        <v>147</v>
      </c>
      <c r="N73" s="4" t="s">
        <v>148</v>
      </c>
      <c r="O73" s="4" t="s">
        <v>640</v>
      </c>
    </row>
    <row r="74" customFormat="false" ht="70.5" hidden="false" customHeight="true" outlineLevel="0" collapsed="false">
      <c r="A74" s="15" t="n">
        <v>69</v>
      </c>
      <c r="B74" s="4" t="s">
        <v>641</v>
      </c>
      <c r="C74" s="4" t="s">
        <v>642</v>
      </c>
      <c r="D74" s="4" t="s">
        <v>643</v>
      </c>
      <c r="E74" s="4" t="s">
        <v>644</v>
      </c>
      <c r="F74" s="4" t="s">
        <v>141</v>
      </c>
      <c r="G74" s="4" t="s">
        <v>516</v>
      </c>
      <c r="H74" s="4" t="s">
        <v>516</v>
      </c>
      <c r="I74" s="4" t="s">
        <v>395</v>
      </c>
      <c r="J74" s="4" t="s">
        <v>645</v>
      </c>
      <c r="K74" s="4" t="s">
        <v>92</v>
      </c>
      <c r="L74" s="4" t="s">
        <v>646</v>
      </c>
      <c r="M74" s="4" t="s">
        <v>147</v>
      </c>
      <c r="N74" s="4" t="s">
        <v>148</v>
      </c>
      <c r="O74" s="4" t="s">
        <v>398</v>
      </c>
    </row>
    <row r="75" customFormat="false" ht="57.75" hidden="false" customHeight="true" outlineLevel="0" collapsed="false">
      <c r="A75" s="15" t="n">
        <v>70</v>
      </c>
      <c r="B75" s="4" t="s">
        <v>647</v>
      </c>
      <c r="C75" s="4" t="s">
        <v>648</v>
      </c>
      <c r="D75" s="4" t="s">
        <v>649</v>
      </c>
      <c r="E75" s="4" t="s">
        <v>650</v>
      </c>
      <c r="F75" s="4" t="s">
        <v>236</v>
      </c>
      <c r="G75" s="4" t="s">
        <v>246</v>
      </c>
      <c r="H75" s="4" t="s">
        <v>651</v>
      </c>
      <c r="I75" s="4" t="s">
        <v>652</v>
      </c>
      <c r="J75" s="4" t="s">
        <v>653</v>
      </c>
      <c r="K75" s="4" t="s">
        <v>145</v>
      </c>
      <c r="L75" s="4" t="s">
        <v>654</v>
      </c>
      <c r="M75" s="4" t="s">
        <v>147</v>
      </c>
      <c r="N75" s="4" t="s">
        <v>148</v>
      </c>
      <c r="O75" s="4" t="s">
        <v>655</v>
      </c>
    </row>
    <row r="76" customFormat="false" ht="57.75" hidden="false" customHeight="true" outlineLevel="0" collapsed="false">
      <c r="A76" s="15" t="n">
        <v>71</v>
      </c>
      <c r="B76" s="4" t="s">
        <v>656</v>
      </c>
      <c r="C76" s="4" t="s">
        <v>657</v>
      </c>
      <c r="D76" s="4" t="s">
        <v>658</v>
      </c>
      <c r="E76" s="4" t="s">
        <v>659</v>
      </c>
      <c r="F76" s="4" t="s">
        <v>236</v>
      </c>
      <c r="G76" s="4" t="s">
        <v>246</v>
      </c>
      <c r="H76" s="4" t="s">
        <v>660</v>
      </c>
      <c r="I76" s="4" t="s">
        <v>652</v>
      </c>
      <c r="J76" s="4" t="s">
        <v>661</v>
      </c>
      <c r="K76" s="4" t="s">
        <v>145</v>
      </c>
      <c r="L76" s="4" t="s">
        <v>662</v>
      </c>
      <c r="M76" s="4" t="s">
        <v>147</v>
      </c>
      <c r="N76" s="4" t="s">
        <v>148</v>
      </c>
      <c r="O76" s="4" t="s">
        <v>663</v>
      </c>
    </row>
    <row r="77" customFormat="false" ht="84" hidden="false" customHeight="true" outlineLevel="0" collapsed="false">
      <c r="A77" s="15" t="n">
        <v>72</v>
      </c>
      <c r="B77" s="4" t="s">
        <v>664</v>
      </c>
      <c r="C77" s="4" t="s">
        <v>665</v>
      </c>
      <c r="D77" s="4" t="s">
        <v>666</v>
      </c>
      <c r="E77" s="4" t="s">
        <v>667</v>
      </c>
      <c r="F77" s="4" t="s">
        <v>141</v>
      </c>
      <c r="G77" s="4" t="s">
        <v>281</v>
      </c>
      <c r="H77" s="4" t="s">
        <v>281</v>
      </c>
      <c r="I77" s="4" t="s">
        <v>668</v>
      </c>
      <c r="J77" s="4" t="s">
        <v>669</v>
      </c>
      <c r="K77" s="4" t="s">
        <v>145</v>
      </c>
      <c r="L77" s="4" t="s">
        <v>388</v>
      </c>
      <c r="M77" s="4" t="s">
        <v>147</v>
      </c>
      <c r="N77" s="4" t="s">
        <v>148</v>
      </c>
      <c r="O77" s="4" t="s">
        <v>670</v>
      </c>
    </row>
    <row r="78" customFormat="false" ht="57.75" hidden="false" customHeight="true" outlineLevel="0" collapsed="false">
      <c r="A78" s="15" t="n">
        <v>73</v>
      </c>
      <c r="B78" s="4" t="s">
        <v>671</v>
      </c>
      <c r="C78" s="4" t="s">
        <v>672</v>
      </c>
      <c r="D78" s="4" t="s">
        <v>673</v>
      </c>
      <c r="E78" s="4" t="s">
        <v>674</v>
      </c>
      <c r="F78" s="4" t="s">
        <v>141</v>
      </c>
      <c r="G78" s="4" t="s">
        <v>675</v>
      </c>
      <c r="H78" s="4" t="s">
        <v>281</v>
      </c>
      <c r="I78" s="4" t="s">
        <v>132</v>
      </c>
      <c r="J78" s="4" t="s">
        <v>676</v>
      </c>
      <c r="K78" s="4" t="s">
        <v>145</v>
      </c>
      <c r="L78" s="4" t="s">
        <v>677</v>
      </c>
      <c r="M78" s="4" t="s">
        <v>147</v>
      </c>
      <c r="N78" s="4" t="s">
        <v>148</v>
      </c>
      <c r="O78" s="4" t="s">
        <v>678</v>
      </c>
    </row>
    <row r="79" customFormat="false" ht="57.75" hidden="false" customHeight="true" outlineLevel="0" collapsed="false">
      <c r="A79" s="15" t="n">
        <v>74</v>
      </c>
      <c r="B79" s="4" t="s">
        <v>679</v>
      </c>
      <c r="C79" s="4" t="s">
        <v>680</v>
      </c>
      <c r="D79" s="4" t="s">
        <v>681</v>
      </c>
      <c r="E79" s="4" t="s">
        <v>682</v>
      </c>
      <c r="F79" s="4" t="s">
        <v>141</v>
      </c>
      <c r="G79" s="4" t="s">
        <v>281</v>
      </c>
      <c r="H79" s="4" t="s">
        <v>281</v>
      </c>
      <c r="I79" s="4" t="s">
        <v>395</v>
      </c>
      <c r="J79" s="4" t="s">
        <v>683</v>
      </c>
      <c r="K79" s="4" t="s">
        <v>92</v>
      </c>
      <c r="L79" s="4" t="s">
        <v>684</v>
      </c>
      <c r="M79" s="4" t="s">
        <v>147</v>
      </c>
      <c r="N79" s="4" t="s">
        <v>148</v>
      </c>
      <c r="O79" s="4" t="s">
        <v>398</v>
      </c>
    </row>
    <row r="80" customFormat="false" ht="45" hidden="false" customHeight="true" outlineLevel="0" collapsed="false">
      <c r="A80" s="15" t="n">
        <v>75</v>
      </c>
      <c r="B80" s="4" t="s">
        <v>685</v>
      </c>
      <c r="C80" s="4" t="s">
        <v>686</v>
      </c>
      <c r="D80" s="4" t="s">
        <v>687</v>
      </c>
      <c r="E80" s="4" t="s">
        <v>688</v>
      </c>
      <c r="F80" s="4" t="s">
        <v>182</v>
      </c>
      <c r="G80" s="4" t="s">
        <v>193</v>
      </c>
      <c r="H80" s="4" t="s">
        <v>689</v>
      </c>
      <c r="I80" s="4" t="s">
        <v>395</v>
      </c>
      <c r="J80" s="4" t="s">
        <v>690</v>
      </c>
      <c r="K80" s="4" t="s">
        <v>92</v>
      </c>
      <c r="L80" s="4" t="s">
        <v>691</v>
      </c>
      <c r="M80" s="4" t="s">
        <v>147</v>
      </c>
      <c r="N80" s="4" t="s">
        <v>148</v>
      </c>
      <c r="O80" s="4" t="s">
        <v>398</v>
      </c>
    </row>
    <row r="81" customFormat="false" ht="70.5" hidden="false" customHeight="true" outlineLevel="0" collapsed="false">
      <c r="A81" s="15" t="n">
        <v>76</v>
      </c>
      <c r="B81" s="4" t="s">
        <v>692</v>
      </c>
      <c r="C81" s="4" t="s">
        <v>693</v>
      </c>
      <c r="D81" s="4" t="s">
        <v>694</v>
      </c>
      <c r="E81" s="4" t="s">
        <v>695</v>
      </c>
      <c r="F81" s="4" t="s">
        <v>141</v>
      </c>
      <c r="G81" s="4" t="s">
        <v>583</v>
      </c>
      <c r="H81" s="4" t="s">
        <v>516</v>
      </c>
      <c r="I81" s="4" t="s">
        <v>395</v>
      </c>
      <c r="J81" s="4" t="s">
        <v>696</v>
      </c>
      <c r="K81" s="4" t="s">
        <v>134</v>
      </c>
      <c r="L81" s="4" t="s">
        <v>697</v>
      </c>
      <c r="M81" s="4" t="s">
        <v>147</v>
      </c>
      <c r="N81" s="4" t="s">
        <v>148</v>
      </c>
      <c r="O81" s="4" t="s">
        <v>398</v>
      </c>
    </row>
    <row r="82" customFormat="false" ht="45" hidden="false" customHeight="true" outlineLevel="0" collapsed="false">
      <c r="A82" s="15" t="n">
        <v>77</v>
      </c>
      <c r="B82" s="4" t="s">
        <v>698</v>
      </c>
      <c r="C82" s="4" t="s">
        <v>699</v>
      </c>
      <c r="D82" s="4" t="s">
        <v>700</v>
      </c>
      <c r="E82" s="4" t="s">
        <v>701</v>
      </c>
      <c r="F82" s="4" t="s">
        <v>290</v>
      </c>
      <c r="G82" s="4" t="s">
        <v>419</v>
      </c>
      <c r="H82" s="4" t="s">
        <v>292</v>
      </c>
      <c r="I82" s="4" t="s">
        <v>132</v>
      </c>
      <c r="J82" s="4" t="s">
        <v>431</v>
      </c>
      <c r="K82" s="4" t="s">
        <v>145</v>
      </c>
      <c r="L82" s="4" t="s">
        <v>702</v>
      </c>
      <c r="M82" s="4" t="s">
        <v>147</v>
      </c>
      <c r="N82" s="4" t="s">
        <v>148</v>
      </c>
      <c r="O82" s="4" t="s">
        <v>703</v>
      </c>
    </row>
    <row r="83" customFormat="false" ht="70.5" hidden="false" customHeight="true" outlineLevel="0" collapsed="false">
      <c r="A83" s="15" t="n">
        <v>78</v>
      </c>
      <c r="B83" s="4" t="s">
        <v>704</v>
      </c>
      <c r="C83" s="4" t="s">
        <v>705</v>
      </c>
      <c r="D83" s="4" t="s">
        <v>706</v>
      </c>
      <c r="E83" s="4" t="s">
        <v>707</v>
      </c>
      <c r="F83" s="4" t="s">
        <v>236</v>
      </c>
      <c r="G83" s="4" t="s">
        <v>246</v>
      </c>
      <c r="H83" s="4" t="s">
        <v>651</v>
      </c>
      <c r="I83" s="4" t="s">
        <v>708</v>
      </c>
      <c r="J83" s="4" t="s">
        <v>709</v>
      </c>
      <c r="K83" s="4" t="s">
        <v>145</v>
      </c>
      <c r="L83" s="4" t="s">
        <v>710</v>
      </c>
      <c r="M83" s="4" t="s">
        <v>147</v>
      </c>
      <c r="N83" s="4" t="s">
        <v>148</v>
      </c>
      <c r="O83" s="4" t="s">
        <v>711</v>
      </c>
    </row>
    <row r="84" customFormat="false" ht="84" hidden="false" customHeight="true" outlineLevel="0" collapsed="false">
      <c r="A84" s="15" t="n">
        <v>79</v>
      </c>
      <c r="B84" s="4" t="s">
        <v>712</v>
      </c>
      <c r="C84" s="4" t="s">
        <v>713</v>
      </c>
      <c r="D84" s="4" t="s">
        <v>714</v>
      </c>
      <c r="E84" s="4" t="s">
        <v>715</v>
      </c>
      <c r="F84" s="4" t="s">
        <v>141</v>
      </c>
      <c r="G84" s="4" t="s">
        <v>163</v>
      </c>
      <c r="H84" s="4" t="s">
        <v>281</v>
      </c>
      <c r="I84" s="4" t="s">
        <v>716</v>
      </c>
      <c r="J84" s="4" t="s">
        <v>283</v>
      </c>
      <c r="K84" s="4" t="s">
        <v>134</v>
      </c>
      <c r="L84" s="4" t="s">
        <v>558</v>
      </c>
      <c r="M84" s="4" t="s">
        <v>147</v>
      </c>
      <c r="N84" s="4" t="s">
        <v>148</v>
      </c>
      <c r="O84" s="4" t="s">
        <v>398</v>
      </c>
    </row>
    <row r="85" customFormat="false" ht="57.75" hidden="false" customHeight="true" outlineLevel="0" collapsed="false">
      <c r="A85" s="15" t="n">
        <v>80</v>
      </c>
      <c r="B85" s="4" t="s">
        <v>717</v>
      </c>
      <c r="C85" s="4" t="s">
        <v>718</v>
      </c>
      <c r="D85" s="4" t="s">
        <v>719</v>
      </c>
      <c r="E85" s="4" t="s">
        <v>720</v>
      </c>
      <c r="F85" s="4" t="s">
        <v>182</v>
      </c>
      <c r="G85" s="4" t="s">
        <v>193</v>
      </c>
      <c r="H85" s="4" t="s">
        <v>721</v>
      </c>
      <c r="I85" s="4" t="s">
        <v>716</v>
      </c>
      <c r="J85" s="4" t="s">
        <v>265</v>
      </c>
      <c r="K85" s="4" t="s">
        <v>145</v>
      </c>
      <c r="L85" s="4" t="s">
        <v>722</v>
      </c>
      <c r="M85" s="4" t="s">
        <v>147</v>
      </c>
      <c r="N85" s="4" t="s">
        <v>148</v>
      </c>
      <c r="O85" s="4" t="s">
        <v>398</v>
      </c>
    </row>
    <row r="86" customFormat="false" ht="70.5" hidden="false" customHeight="true" outlineLevel="0" collapsed="false">
      <c r="A86" s="15" t="n">
        <v>81</v>
      </c>
      <c r="B86" s="4" t="s">
        <v>723</v>
      </c>
      <c r="C86" s="4" t="s">
        <v>724</v>
      </c>
      <c r="D86" s="4" t="s">
        <v>725</v>
      </c>
      <c r="E86" s="4" t="s">
        <v>726</v>
      </c>
      <c r="F86" s="4" t="s">
        <v>141</v>
      </c>
      <c r="G86" s="4" t="s">
        <v>583</v>
      </c>
      <c r="H86" s="4" t="s">
        <v>516</v>
      </c>
      <c r="I86" s="4" t="s">
        <v>716</v>
      </c>
      <c r="J86" s="4" t="s">
        <v>274</v>
      </c>
      <c r="K86" s="4" t="s">
        <v>134</v>
      </c>
      <c r="L86" s="4" t="s">
        <v>727</v>
      </c>
      <c r="M86" s="4" t="s">
        <v>147</v>
      </c>
      <c r="N86" s="4" t="s">
        <v>148</v>
      </c>
      <c r="O86" s="4" t="s">
        <v>728</v>
      </c>
    </row>
    <row r="87" customFormat="false" ht="70.5" hidden="false" customHeight="true" outlineLevel="0" collapsed="false">
      <c r="A87" s="15" t="n">
        <v>82</v>
      </c>
      <c r="B87" s="4" t="s">
        <v>729</v>
      </c>
      <c r="C87" s="4" t="s">
        <v>730</v>
      </c>
      <c r="D87" s="4" t="s">
        <v>731</v>
      </c>
      <c r="E87" s="4" t="s">
        <v>732</v>
      </c>
      <c r="F87" s="4" t="s">
        <v>141</v>
      </c>
      <c r="G87" s="4" t="s">
        <v>163</v>
      </c>
      <c r="H87" s="4" t="s">
        <v>281</v>
      </c>
      <c r="I87" s="4" t="s">
        <v>733</v>
      </c>
      <c r="J87" s="4" t="s">
        <v>283</v>
      </c>
      <c r="K87" s="4" t="s">
        <v>134</v>
      </c>
      <c r="L87" s="4" t="s">
        <v>558</v>
      </c>
      <c r="M87" s="4" t="s">
        <v>147</v>
      </c>
      <c r="N87" s="4" t="s">
        <v>148</v>
      </c>
      <c r="O87" s="4" t="s">
        <v>398</v>
      </c>
    </row>
    <row r="88" customFormat="false" ht="57.75" hidden="false" customHeight="true" outlineLevel="0" collapsed="false">
      <c r="A88" s="15" t="n">
        <v>83</v>
      </c>
      <c r="B88" s="4" t="s">
        <v>734</v>
      </c>
      <c r="C88" s="4" t="s">
        <v>735</v>
      </c>
      <c r="D88" s="4" t="s">
        <v>736</v>
      </c>
      <c r="E88" s="4" t="s">
        <v>737</v>
      </c>
      <c r="F88" s="4" t="s">
        <v>182</v>
      </c>
      <c r="G88" s="4" t="s">
        <v>193</v>
      </c>
      <c r="H88" s="4" t="s">
        <v>738</v>
      </c>
      <c r="I88" s="4" t="s">
        <v>733</v>
      </c>
      <c r="J88" s="4" t="s">
        <v>265</v>
      </c>
      <c r="K88" s="4" t="s">
        <v>145</v>
      </c>
      <c r="L88" s="4" t="s">
        <v>739</v>
      </c>
      <c r="M88" s="4" t="s">
        <v>147</v>
      </c>
      <c r="N88" s="4" t="s">
        <v>148</v>
      </c>
      <c r="O88" s="4" t="s">
        <v>398</v>
      </c>
    </row>
    <row r="89" customFormat="false" ht="70.5" hidden="false" customHeight="true" outlineLevel="0" collapsed="false">
      <c r="A89" s="15" t="n">
        <v>84</v>
      </c>
      <c r="B89" s="4" t="s">
        <v>740</v>
      </c>
      <c r="C89" s="4" t="s">
        <v>741</v>
      </c>
      <c r="D89" s="4" t="s">
        <v>742</v>
      </c>
      <c r="E89" s="4" t="s">
        <v>743</v>
      </c>
      <c r="F89" s="4" t="s">
        <v>141</v>
      </c>
      <c r="G89" s="4" t="s">
        <v>583</v>
      </c>
      <c r="H89" s="4" t="s">
        <v>516</v>
      </c>
      <c r="I89" s="4" t="s">
        <v>733</v>
      </c>
      <c r="J89" s="4" t="s">
        <v>274</v>
      </c>
      <c r="K89" s="4" t="s">
        <v>134</v>
      </c>
      <c r="L89" s="4" t="s">
        <v>744</v>
      </c>
      <c r="M89" s="4" t="s">
        <v>147</v>
      </c>
      <c r="N89" s="4" t="s">
        <v>148</v>
      </c>
      <c r="O89" s="4" t="s">
        <v>745</v>
      </c>
    </row>
    <row r="90" customFormat="false" ht="57.75" hidden="false" customHeight="true" outlineLevel="0" collapsed="false">
      <c r="A90" s="15" t="n">
        <v>85</v>
      </c>
      <c r="B90" s="4" t="s">
        <v>746</v>
      </c>
      <c r="C90" s="4" t="s">
        <v>747</v>
      </c>
      <c r="D90" s="4" t="s">
        <v>748</v>
      </c>
      <c r="E90" s="4" t="s">
        <v>749</v>
      </c>
      <c r="F90" s="4" t="s">
        <v>141</v>
      </c>
      <c r="G90" s="4" t="s">
        <v>163</v>
      </c>
      <c r="H90" s="4" t="s">
        <v>281</v>
      </c>
      <c r="I90" s="4" t="s">
        <v>750</v>
      </c>
      <c r="J90" s="4" t="s">
        <v>283</v>
      </c>
      <c r="K90" s="4" t="s">
        <v>134</v>
      </c>
      <c r="L90" s="4" t="s">
        <v>558</v>
      </c>
      <c r="M90" s="4" t="s">
        <v>147</v>
      </c>
      <c r="N90" s="4" t="s">
        <v>148</v>
      </c>
      <c r="O90" s="4" t="s">
        <v>398</v>
      </c>
    </row>
    <row r="91" customFormat="false" ht="57.75" hidden="false" customHeight="true" outlineLevel="0" collapsed="false">
      <c r="A91" s="15" t="n">
        <v>86</v>
      </c>
      <c r="B91" s="4" t="s">
        <v>751</v>
      </c>
      <c r="C91" s="4" t="s">
        <v>752</v>
      </c>
      <c r="D91" s="4" t="s">
        <v>753</v>
      </c>
      <c r="E91" s="4" t="s">
        <v>754</v>
      </c>
      <c r="F91" s="4" t="s">
        <v>182</v>
      </c>
      <c r="G91" s="4" t="s">
        <v>193</v>
      </c>
      <c r="H91" s="4" t="s">
        <v>721</v>
      </c>
      <c r="I91" s="4" t="s">
        <v>750</v>
      </c>
      <c r="J91" s="4" t="s">
        <v>265</v>
      </c>
      <c r="K91" s="4" t="s">
        <v>145</v>
      </c>
      <c r="L91" s="4" t="s">
        <v>755</v>
      </c>
      <c r="M91" s="4" t="s">
        <v>147</v>
      </c>
      <c r="N91" s="4" t="s">
        <v>148</v>
      </c>
      <c r="O91" s="4" t="s">
        <v>398</v>
      </c>
    </row>
    <row r="92" customFormat="false" ht="70.5" hidden="false" customHeight="true" outlineLevel="0" collapsed="false">
      <c r="A92" s="15" t="n">
        <v>87</v>
      </c>
      <c r="B92" s="4" t="s">
        <v>756</v>
      </c>
      <c r="C92" s="4" t="s">
        <v>757</v>
      </c>
      <c r="D92" s="4" t="s">
        <v>758</v>
      </c>
      <c r="E92" s="4" t="s">
        <v>759</v>
      </c>
      <c r="F92" s="4" t="s">
        <v>141</v>
      </c>
      <c r="G92" s="4" t="s">
        <v>583</v>
      </c>
      <c r="H92" s="4" t="s">
        <v>516</v>
      </c>
      <c r="I92" s="4" t="s">
        <v>750</v>
      </c>
      <c r="J92" s="4" t="s">
        <v>274</v>
      </c>
      <c r="K92" s="4" t="s">
        <v>134</v>
      </c>
      <c r="L92" s="4" t="s">
        <v>760</v>
      </c>
      <c r="M92" s="4" t="s">
        <v>147</v>
      </c>
      <c r="N92" s="4" t="s">
        <v>148</v>
      </c>
      <c r="O92" s="4" t="s">
        <v>761</v>
      </c>
    </row>
    <row r="93" customFormat="false" ht="96.75" hidden="false" customHeight="true" outlineLevel="0" collapsed="false">
      <c r="A93" s="15" t="n">
        <v>88</v>
      </c>
      <c r="B93" s="4" t="s">
        <v>762</v>
      </c>
      <c r="C93" s="4" t="s">
        <v>763</v>
      </c>
      <c r="D93" s="4" t="s">
        <v>764</v>
      </c>
      <c r="E93" s="4" t="s">
        <v>765</v>
      </c>
      <c r="F93" s="4" t="s">
        <v>290</v>
      </c>
      <c r="G93" s="4" t="s">
        <v>766</v>
      </c>
      <c r="H93" s="4" t="s">
        <v>767</v>
      </c>
      <c r="I93" s="4" t="s">
        <v>369</v>
      </c>
      <c r="J93" s="4" t="s">
        <v>768</v>
      </c>
      <c r="K93" s="4" t="s">
        <v>145</v>
      </c>
      <c r="L93" s="4" t="s">
        <v>769</v>
      </c>
      <c r="M93" s="4" t="s">
        <v>147</v>
      </c>
      <c r="N93" s="4" t="s">
        <v>148</v>
      </c>
      <c r="O93" s="4" t="s">
        <v>770</v>
      </c>
    </row>
    <row r="94" customFormat="false" ht="84" hidden="false" customHeight="true" outlineLevel="0" collapsed="false">
      <c r="A94" s="15" t="n">
        <v>89</v>
      </c>
      <c r="B94" s="4" t="s">
        <v>771</v>
      </c>
      <c r="C94" s="4" t="s">
        <v>772</v>
      </c>
      <c r="D94" s="4" t="s">
        <v>773</v>
      </c>
      <c r="E94" s="4" t="s">
        <v>774</v>
      </c>
      <c r="F94" s="4" t="s">
        <v>290</v>
      </c>
      <c r="G94" s="4" t="s">
        <v>766</v>
      </c>
      <c r="H94" s="4" t="s">
        <v>767</v>
      </c>
      <c r="I94" s="4" t="s">
        <v>775</v>
      </c>
      <c r="J94" s="4" t="s">
        <v>768</v>
      </c>
      <c r="K94" s="4" t="s">
        <v>145</v>
      </c>
      <c r="L94" s="4" t="s">
        <v>776</v>
      </c>
      <c r="M94" s="4" t="s">
        <v>147</v>
      </c>
      <c r="N94" s="4" t="s">
        <v>148</v>
      </c>
      <c r="O94" s="4" t="s">
        <v>777</v>
      </c>
    </row>
    <row r="95" customFormat="false" ht="96.75" hidden="false" customHeight="true" outlineLevel="0" collapsed="false">
      <c r="A95" s="15" t="n">
        <v>90</v>
      </c>
      <c r="B95" s="4" t="s">
        <v>778</v>
      </c>
      <c r="C95" s="4" t="s">
        <v>779</v>
      </c>
      <c r="D95" s="4" t="s">
        <v>780</v>
      </c>
      <c r="E95" s="4" t="s">
        <v>781</v>
      </c>
      <c r="F95" s="4" t="s">
        <v>290</v>
      </c>
      <c r="G95" s="4" t="s">
        <v>766</v>
      </c>
      <c r="H95" s="4" t="s">
        <v>767</v>
      </c>
      <c r="I95" s="4" t="s">
        <v>369</v>
      </c>
      <c r="J95" s="4" t="s">
        <v>782</v>
      </c>
      <c r="K95" s="4" t="s">
        <v>145</v>
      </c>
      <c r="L95" s="4" t="s">
        <v>783</v>
      </c>
      <c r="M95" s="4" t="s">
        <v>147</v>
      </c>
      <c r="N95" s="4" t="s">
        <v>148</v>
      </c>
      <c r="O95" s="4" t="s">
        <v>784</v>
      </c>
    </row>
    <row r="97" customFormat="false" ht="15" hidden="false" customHeight="false" outlineLevel="0" collapsed="false">
      <c r="B97" s="13" t="s">
        <v>785</v>
      </c>
      <c r="D97" s="14" t="str">
        <f aca="false">COUNTA(B6:B95)&amp;" (mínimo 8)"</f>
        <v>90 (mínimo 8)</v>
      </c>
    </row>
    <row r="98" customFormat="false" ht="15" hidden="false" customHeight="false" outlineLevel="0" collapsed="false">
      <c r="B98" s="13" t="s">
        <v>786</v>
      </c>
      <c r="D98" s="14" t="str">
        <f aca="false">IF(COUNTA(B6:B95)=0,"0 %",TEXT(COUNTA(B6:N95)/(COUNTA(B6:B95)*13),"0 %"))</f>
        <v>100 %</v>
      </c>
      <c r="E98" s="18" t="s">
        <v>787</v>
      </c>
    </row>
    <row r="100" customFormat="false" ht="66" hidden="false" customHeight="true" outlineLevel="0" collapsed="false">
      <c r="B100" s="19" t="s">
        <v>788</v>
      </c>
      <c r="C100" s="19"/>
      <c r="D100" s="19"/>
      <c r="E100" s="19"/>
      <c r="F100" s="19"/>
      <c r="G100" s="19"/>
      <c r="H100" s="19"/>
      <c r="I100" s="19"/>
      <c r="J100" s="19"/>
      <c r="K100" s="19"/>
      <c r="L100" s="19"/>
      <c r="M100" s="19"/>
      <c r="N100" s="19"/>
      <c r="O100" s="19"/>
    </row>
  </sheetData>
  <mergeCells count="2">
    <mergeCell ref="A2:N2"/>
    <mergeCell ref="B100:O100"/>
  </mergeCells>
  <dataValidations count="2">
    <dataValidation allowBlank="true" errorStyle="stop" operator="between" showDropDown="false" showErrorMessage="false" showInputMessage="false" sqref="F6:F95" type="list">
      <formula1>"Texto,Entero,Decimal,Fecha,Fecha y hora,Sí/No,Código/categoría"</formula1>
      <formula2>0</formula2>
    </dataValidation>
    <dataValidation allowBlank="true" errorStyle="stop" operator="between" showDropDown="false" showErrorMessage="false" showInputMessage="false" sqref="K6:K95" type="list">
      <formula1>"Pública,Uso interno,Confidencial,Dato personal,Dato sensible"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6A"/>
    <pageSetUpPr fitToPage="true"/>
  </sheetPr>
  <dimension ref="A1:G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4"/>
    <col collapsed="false" customWidth="true" hidden="false" outlineLevel="0" max="2" min="2" style="0" width="24"/>
    <col collapsed="false" customWidth="true" hidden="false" outlineLevel="0" max="3" min="3" style="0" width="56"/>
    <col collapsed="false" customWidth="true" hidden="false" outlineLevel="0" max="5" min="4" style="0" width="26"/>
    <col collapsed="false" customWidth="true" hidden="false" outlineLevel="0" max="6" min="6" style="0" width="24"/>
    <col collapsed="false" customWidth="true" hidden="false" outlineLevel="0" max="7" min="7" style="0" width="50"/>
  </cols>
  <sheetData>
    <row r="1" customFormat="false" ht="19.5" hidden="false" customHeight="true" outlineLevel="0" collapsed="false">
      <c r="A1" s="1" t="s">
        <v>789</v>
      </c>
    </row>
    <row r="2" customFormat="false" ht="30" hidden="false" customHeight="true" outlineLevel="0" collapsed="false">
      <c r="A2" s="2" t="s">
        <v>790</v>
      </c>
      <c r="B2" s="2"/>
      <c r="C2" s="2"/>
      <c r="D2" s="2"/>
      <c r="E2" s="2"/>
      <c r="F2" s="2"/>
    </row>
    <row r="4" customFormat="false" ht="31.5" hidden="false" customHeight="true" outlineLevel="0" collapsed="false">
      <c r="A4" s="10" t="s">
        <v>109</v>
      </c>
      <c r="B4" s="10" t="s">
        <v>791</v>
      </c>
      <c r="C4" s="10" t="s">
        <v>792</v>
      </c>
      <c r="D4" s="10" t="s">
        <v>793</v>
      </c>
      <c r="E4" s="10" t="s">
        <v>794</v>
      </c>
      <c r="F4" s="10" t="s">
        <v>795</v>
      </c>
      <c r="G4" s="10" t="s">
        <v>796</v>
      </c>
    </row>
    <row r="5" customFormat="false" ht="36" hidden="false" customHeight="true" outlineLevel="0" collapsed="false">
      <c r="A5" s="12" t="s">
        <v>124</v>
      </c>
      <c r="B5" s="12" t="s">
        <v>797</v>
      </c>
      <c r="C5" s="12" t="s">
        <v>798</v>
      </c>
      <c r="D5" s="12" t="s">
        <v>799</v>
      </c>
      <c r="E5" s="12" t="s">
        <v>800</v>
      </c>
      <c r="F5" s="12" t="s">
        <v>49</v>
      </c>
      <c r="G5" s="12" t="s">
        <v>801</v>
      </c>
    </row>
    <row r="6" customFormat="false" ht="71.25" hidden="false" customHeight="true" outlineLevel="0" collapsed="false">
      <c r="A6" s="15" t="n">
        <v>1</v>
      </c>
      <c r="B6" s="4" t="s">
        <v>802</v>
      </c>
      <c r="C6" s="4" t="s">
        <v>803</v>
      </c>
      <c r="D6" s="4" t="s">
        <v>804</v>
      </c>
      <c r="E6" s="4" t="s">
        <v>138</v>
      </c>
      <c r="F6" s="4" t="s">
        <v>805</v>
      </c>
      <c r="G6" s="4" t="s">
        <v>806</v>
      </c>
    </row>
    <row r="7" customFormat="false" ht="84.75" hidden="false" customHeight="true" outlineLevel="0" collapsed="false">
      <c r="A7" s="15" t="n">
        <v>2</v>
      </c>
      <c r="B7" s="4" t="s">
        <v>220</v>
      </c>
      <c r="C7" s="4" t="s">
        <v>807</v>
      </c>
      <c r="D7" s="4" t="s">
        <v>808</v>
      </c>
      <c r="E7" s="4" t="s">
        <v>809</v>
      </c>
      <c r="F7" s="4" t="s">
        <v>805</v>
      </c>
      <c r="G7" s="4" t="s">
        <v>810</v>
      </c>
    </row>
    <row r="8" customFormat="false" ht="71.25" hidden="false" customHeight="true" outlineLevel="0" collapsed="false">
      <c r="A8" s="15" t="n">
        <v>3</v>
      </c>
      <c r="B8" s="4" t="s">
        <v>161</v>
      </c>
      <c r="C8" s="4" t="s">
        <v>811</v>
      </c>
      <c r="D8" s="4" t="s">
        <v>812</v>
      </c>
      <c r="E8" s="4" t="s">
        <v>813</v>
      </c>
      <c r="F8" s="4" t="s">
        <v>805</v>
      </c>
      <c r="G8" s="4" t="s">
        <v>814</v>
      </c>
    </row>
    <row r="9" customFormat="false" ht="84.75" hidden="false" customHeight="true" outlineLevel="0" collapsed="false">
      <c r="A9" s="15" t="n">
        <v>4</v>
      </c>
      <c r="B9" s="4" t="s">
        <v>815</v>
      </c>
      <c r="C9" s="4" t="s">
        <v>816</v>
      </c>
      <c r="D9" s="4" t="s">
        <v>817</v>
      </c>
      <c r="E9" s="4" t="s">
        <v>818</v>
      </c>
      <c r="F9" s="4" t="s">
        <v>805</v>
      </c>
      <c r="G9" s="4" t="s">
        <v>819</v>
      </c>
    </row>
    <row r="10" customFormat="false" ht="71.25" hidden="false" customHeight="true" outlineLevel="0" collapsed="false">
      <c r="A10" s="15" t="n">
        <v>5</v>
      </c>
      <c r="B10" s="4" t="s">
        <v>820</v>
      </c>
      <c r="C10" s="4" t="s">
        <v>821</v>
      </c>
      <c r="D10" s="4" t="s">
        <v>822</v>
      </c>
      <c r="E10" s="4" t="s">
        <v>823</v>
      </c>
      <c r="F10" s="4" t="s">
        <v>805</v>
      </c>
      <c r="G10" s="4" t="s">
        <v>824</v>
      </c>
    </row>
    <row r="11" customFormat="false" ht="71.25" hidden="false" customHeight="true" outlineLevel="0" collapsed="false">
      <c r="A11" s="15" t="n">
        <v>6</v>
      </c>
      <c r="B11" s="4" t="s">
        <v>825</v>
      </c>
      <c r="C11" s="4" t="s">
        <v>826</v>
      </c>
      <c r="D11" s="4" t="s">
        <v>827</v>
      </c>
      <c r="E11" s="4" t="s">
        <v>828</v>
      </c>
      <c r="F11" s="4" t="s">
        <v>805</v>
      </c>
      <c r="G11" s="4" t="s">
        <v>829</v>
      </c>
    </row>
    <row r="12" customFormat="false" ht="44.25" hidden="false" customHeight="true" outlineLevel="0" collapsed="false">
      <c r="A12" s="15" t="n">
        <v>7</v>
      </c>
      <c r="B12" s="4" t="s">
        <v>830</v>
      </c>
      <c r="C12" s="4" t="s">
        <v>831</v>
      </c>
      <c r="D12" s="4" t="s">
        <v>832</v>
      </c>
      <c r="E12" s="4" t="s">
        <v>833</v>
      </c>
      <c r="F12" s="4" t="s">
        <v>805</v>
      </c>
      <c r="G12" s="4" t="s">
        <v>834</v>
      </c>
    </row>
  </sheetData>
  <mergeCells count="1">
    <mergeCell ref="A2:F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6A"/>
    <pageSetUpPr fitToPage="true"/>
  </sheetPr>
  <dimension ref="A1:E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4"/>
    <col collapsed="false" customWidth="true" hidden="false" outlineLevel="0" max="2" min="2" style="0" width="78"/>
    <col collapsed="false" customWidth="true" hidden="false" outlineLevel="0" max="3" min="3" style="0" width="14"/>
    <col collapsed="false" customWidth="true" hidden="false" outlineLevel="0" max="4" min="4" style="0" width="10"/>
    <col collapsed="false" customWidth="true" hidden="false" outlineLevel="0" max="5" min="5" style="0" width="40"/>
  </cols>
  <sheetData>
    <row r="1" customFormat="false" ht="19.5" hidden="false" customHeight="true" outlineLevel="0" collapsed="false">
      <c r="A1" s="1" t="s">
        <v>835</v>
      </c>
    </row>
    <row r="2" customFormat="false" ht="30" hidden="false" customHeight="true" outlineLevel="0" collapsed="false">
      <c r="A2" s="2" t="s">
        <v>836</v>
      </c>
      <c r="B2" s="2"/>
      <c r="C2" s="2"/>
      <c r="D2" s="2"/>
      <c r="E2" s="2"/>
    </row>
    <row r="4" customFormat="false" ht="31.5" hidden="false" customHeight="true" outlineLevel="0" collapsed="false">
      <c r="A4" s="10" t="s">
        <v>109</v>
      </c>
      <c r="B4" s="10" t="s">
        <v>837</v>
      </c>
      <c r="C4" s="10" t="s">
        <v>838</v>
      </c>
      <c r="D4" s="10" t="s">
        <v>839</v>
      </c>
      <c r="E4" s="10" t="s">
        <v>840</v>
      </c>
    </row>
    <row r="5" customFormat="false" ht="30.75" hidden="false" customHeight="true" outlineLevel="0" collapsed="false">
      <c r="A5" s="15" t="n">
        <v>1</v>
      </c>
      <c r="B5" s="6" t="s">
        <v>841</v>
      </c>
      <c r="C5" s="20" t="s">
        <v>96</v>
      </c>
      <c r="D5" s="21" t="n">
        <f aca="false">IF(C5="Sí",2,IF(C5="Parcial",1,0))</f>
        <v>2</v>
      </c>
      <c r="E5" s="4"/>
    </row>
    <row r="6" customFormat="false" ht="39.75" hidden="false" customHeight="true" outlineLevel="0" collapsed="false">
      <c r="A6" s="15" t="n">
        <v>2</v>
      </c>
      <c r="B6" s="6" t="s">
        <v>842</v>
      </c>
      <c r="C6" s="20" t="s">
        <v>96</v>
      </c>
      <c r="D6" s="21" t="n">
        <f aca="false">IF(C6="Sí",2,IF(C6="Parcial",1,0))</f>
        <v>2</v>
      </c>
      <c r="E6" s="4" t="s">
        <v>843</v>
      </c>
    </row>
    <row r="7" customFormat="false" ht="27.75" hidden="false" customHeight="true" outlineLevel="0" collapsed="false">
      <c r="A7" s="15" t="n">
        <v>3</v>
      </c>
      <c r="B7" s="6" t="s">
        <v>844</v>
      </c>
      <c r="C7" s="20" t="s">
        <v>96</v>
      </c>
      <c r="D7" s="21" t="n">
        <f aca="false">IF(C7="Sí",2,IF(C7="Parcial",1,0))</f>
        <v>2</v>
      </c>
      <c r="E7" s="4"/>
    </row>
    <row r="8" customFormat="false" ht="27.75" hidden="false" customHeight="true" outlineLevel="0" collapsed="false">
      <c r="A8" s="15" t="n">
        <v>4</v>
      </c>
      <c r="B8" s="6" t="s">
        <v>845</v>
      </c>
      <c r="C8" s="20" t="s">
        <v>96</v>
      </c>
      <c r="D8" s="21" t="n">
        <f aca="false">IF(C8="Sí",2,IF(C8="Parcial",1,0))</f>
        <v>2</v>
      </c>
      <c r="E8" s="4"/>
    </row>
    <row r="9" customFormat="false" ht="66" hidden="false" customHeight="true" outlineLevel="0" collapsed="false">
      <c r="A9" s="15" t="n">
        <v>5</v>
      </c>
      <c r="B9" s="6" t="s">
        <v>846</v>
      </c>
      <c r="C9" s="20" t="s">
        <v>847</v>
      </c>
      <c r="D9" s="21" t="n">
        <f aca="false">IF(C9="Sí",2,IF(C9="Parcial",1,0))</f>
        <v>1</v>
      </c>
      <c r="E9" s="4" t="s">
        <v>848</v>
      </c>
    </row>
    <row r="10" customFormat="false" ht="66" hidden="false" customHeight="true" outlineLevel="0" collapsed="false">
      <c r="A10" s="15" t="n">
        <v>6</v>
      </c>
      <c r="B10" s="6" t="s">
        <v>849</v>
      </c>
      <c r="C10" s="20" t="s">
        <v>96</v>
      </c>
      <c r="D10" s="21" t="n">
        <f aca="false">IF(C10="Sí",2,IF(C10="Parcial",1,0))</f>
        <v>2</v>
      </c>
      <c r="E10" s="4" t="s">
        <v>850</v>
      </c>
    </row>
    <row r="11" customFormat="false" ht="66" hidden="false" customHeight="true" outlineLevel="0" collapsed="false">
      <c r="A11" s="15" t="n">
        <v>7</v>
      </c>
      <c r="B11" s="6" t="s">
        <v>851</v>
      </c>
      <c r="C11" s="20" t="s">
        <v>96</v>
      </c>
      <c r="D11" s="21" t="n">
        <f aca="false">IF(C11="Sí",2,IF(C11="Parcial",1,0))</f>
        <v>2</v>
      </c>
      <c r="E11" s="4" t="s">
        <v>852</v>
      </c>
    </row>
    <row r="12" customFormat="false" ht="66" hidden="false" customHeight="true" outlineLevel="0" collapsed="false">
      <c r="A12" s="15" t="n">
        <v>8</v>
      </c>
      <c r="B12" s="6" t="s">
        <v>853</v>
      </c>
      <c r="C12" s="20" t="s">
        <v>96</v>
      </c>
      <c r="D12" s="21" t="n">
        <f aca="false">IF(C12="Sí",2,IF(C12="Parcial",1,0))</f>
        <v>2</v>
      </c>
      <c r="E12" s="4" t="s">
        <v>854</v>
      </c>
    </row>
    <row r="13" customFormat="false" ht="27.75" hidden="false" customHeight="true" outlineLevel="0" collapsed="false">
      <c r="A13" s="15" t="n">
        <v>9</v>
      </c>
      <c r="B13" s="6" t="s">
        <v>855</v>
      </c>
      <c r="C13" s="20" t="s">
        <v>96</v>
      </c>
      <c r="D13" s="21" t="n">
        <f aca="false">IF(C13="Sí",2,IF(C13="Parcial",1,0))</f>
        <v>2</v>
      </c>
      <c r="E13" s="4" t="s">
        <v>856</v>
      </c>
    </row>
    <row r="14" customFormat="false" ht="30.75" hidden="false" customHeight="true" outlineLevel="0" collapsed="false">
      <c r="A14" s="15" t="n">
        <v>10</v>
      </c>
      <c r="B14" s="6" t="s">
        <v>857</v>
      </c>
      <c r="C14" s="20" t="s">
        <v>96</v>
      </c>
      <c r="D14" s="21" t="n">
        <f aca="false">IF(C14="Sí",2,IF(C14="Parcial",1,0))</f>
        <v>2</v>
      </c>
      <c r="E14" s="4"/>
    </row>
    <row r="15" customFormat="false" ht="15" hidden="false" customHeight="false" outlineLevel="0" collapsed="false">
      <c r="B15" s="3" t="s">
        <v>858</v>
      </c>
      <c r="D15" s="22" t="n">
        <f aca="false">SUM(D5:D14)</f>
        <v>19</v>
      </c>
    </row>
    <row r="16" customFormat="false" ht="15" hidden="false" customHeight="false" outlineLevel="0" collapsed="false">
      <c r="B16" s="3" t="s">
        <v>859</v>
      </c>
      <c r="C16" s="9" t="str">
        <f aca="false">IF(COUNTA(C5:C14)=0,"Sin responder",IF(D15&gt;=16,"Lista para el proyecto",IF(D15&gt;=10,"Ajustar antes de entregar","Rehacer con la guía")))</f>
        <v>Lista para el proyecto</v>
      </c>
      <c r="D16" s="9"/>
      <c r="E16" s="9"/>
    </row>
    <row r="18" customFormat="false" ht="15" hidden="false" customHeight="false" outlineLevel="0" collapsed="false">
      <c r="B18" s="13" t="s">
        <v>860</v>
      </c>
    </row>
    <row r="19" customFormat="false" ht="44.25" hidden="false" customHeight="true" outlineLevel="0" collapsed="false">
      <c r="B19" s="4" t="s">
        <v>861</v>
      </c>
      <c r="C19" s="4"/>
      <c r="D19" s="4"/>
      <c r="E19" s="4"/>
    </row>
    <row r="21" customFormat="false" ht="15" hidden="false" customHeight="false" outlineLevel="0" collapsed="false">
      <c r="B21" s="13" t="s">
        <v>862</v>
      </c>
    </row>
    <row r="22" customFormat="false" ht="30.75" hidden="false" customHeight="true" outlineLevel="0" collapsed="false">
      <c r="A22" s="15" t="n">
        <v>1</v>
      </c>
      <c r="B22" s="4" t="s">
        <v>863</v>
      </c>
      <c r="C22" s="4"/>
      <c r="D22" s="4"/>
      <c r="E22" s="4"/>
    </row>
    <row r="23" customFormat="false" ht="30.75" hidden="false" customHeight="true" outlineLevel="0" collapsed="false">
      <c r="A23" s="15" t="n">
        <v>2</v>
      </c>
      <c r="B23" s="4" t="s">
        <v>864</v>
      </c>
      <c r="C23" s="4"/>
      <c r="D23" s="4"/>
      <c r="E23" s="4"/>
    </row>
    <row r="24" customFormat="false" ht="30.75" hidden="false" customHeight="true" outlineLevel="0" collapsed="false">
      <c r="A24" s="15" t="n">
        <v>3</v>
      </c>
      <c r="B24" s="4" t="s">
        <v>865</v>
      </c>
      <c r="C24" s="4"/>
      <c r="D24" s="4"/>
      <c r="E24" s="4"/>
    </row>
  </sheetData>
  <mergeCells count="6">
    <mergeCell ref="A2:E2"/>
    <mergeCell ref="C16:E16"/>
    <mergeCell ref="B19:E19"/>
    <mergeCell ref="B22:E22"/>
    <mergeCell ref="B23:E23"/>
    <mergeCell ref="B24:E24"/>
  </mergeCells>
  <dataValidations count="1">
    <dataValidation allowBlank="true" errorStyle="stop" operator="between" showDropDown="false" showErrorMessage="false" showInputMessage="false" sqref="C5:C14" type="list">
      <formula1>"Sí,Parcial,No"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2026-10-19T19:55:37Z</dcterms:created>
  <dc:creator>openpyxl</dc:creator>
  <dc:description/>
  <dc:language>en-US</dc:language>
  <cp:lastModifiedBy>Santiago Gomez Jaramillo</cp:lastModifiedBy>
  <dcterms:modified xsi:type="dcterms:W3CDTF">2026-10-30T18:31:10Z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